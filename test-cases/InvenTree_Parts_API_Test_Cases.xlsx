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19540" tabRatio="500" firstSheet="0" activeTab="1" autoFilterDateGrouping="1"/>
  </bookViews>
  <sheets>
    <sheet name="Summary" sheetId="1" state="visible" r:id="rId1"/>
    <sheet name="Test Cases" sheetId="2" state="visible" r:id="rId2"/>
    <sheet name="Scope &amp; Endpoints" sheetId="3" state="visible" r:id="rId3"/>
    <sheet name="Field Constraints" sheetId="4" state="visible" r:id="rId4"/>
    <sheet name="Findings" sheetId="5" state="visible" r:id="rId5"/>
    <sheet name="Traceability" sheetId="6" state="visible" r:id="rId6"/>
    <sheet name="Automation Traceability 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2"/>
      <b val="1"/>
      <color rgb="FF1F3864"/>
      <sz val="14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i val="1"/>
      <sz val="9"/>
    </font>
    <font>
      <name val="Arial"/>
      <family val="2"/>
      <b val="1"/>
      <color rgb="FF1F3864"/>
      <sz val="11"/>
    </font>
    <font>
      <name val="Arial"/>
      <family val="2"/>
      <i val="1"/>
      <sz val="8"/>
    </font>
    <font>
      <name val="Arial"/>
      <b val="1"/>
      <color rgb="FFFFFFFF"/>
      <sz val="10"/>
    </font>
    <font>
      <name val="Arial"/>
      <sz val="9"/>
    </font>
    <font>
      <name val="Arial"/>
      <b val="1"/>
      <sz val="9"/>
    </font>
    <font>
      <name val="Arial"/>
      <i val="1"/>
      <sz val="9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FE0"/>
        <bgColor rgb="FFFFFFFF"/>
      </patternFill>
    </fill>
    <fill>
      <patternFill patternType="solid">
        <fgColor rgb="FF1F3864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5" borderId="0" applyAlignment="1" pivotButton="0" quotePrefix="0" xfId="0">
      <alignment vertical="top"/>
    </xf>
    <xf numFmtId="0" fontId="10" fillId="6" borderId="0" applyAlignment="1" pivotButton="0" quotePrefix="0" xfId="0">
      <alignment vertical="top"/>
    </xf>
    <xf numFmtId="0" fontId="10" fillId="6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/>
    </xf>
    <xf numFmtId="0" fontId="10" fillId="7" borderId="0" applyAlignment="1" pivotButton="0" quotePrefix="0" xfId="0">
      <alignment vertical="top" wrapText="1"/>
    </xf>
    <xf numFmtId="0" fontId="10" fillId="8" borderId="0" applyAlignment="1" pivotButton="0" quotePrefix="0" xfId="0">
      <alignment vertical="top"/>
    </xf>
    <xf numFmtId="0" fontId="10" fillId="8" borderId="0" applyAlignment="1" pivotButton="0" quotePrefix="0" xfId="0">
      <alignment vertical="top" wrapText="1"/>
    </xf>
    <xf numFmtId="0" fontId="11" fillId="0" borderId="0" pivotButton="0" quotePrefix="0" xfId="0"/>
    <xf numFmtId="0" fontId="10" fillId="0" borderId="0" pivotButton="0" quotePrefix="0" xfId="0"/>
    <xf numFmtId="0" fontId="12" fillId="0" borderId="0" applyAlignment="1" pivotButton="0" quotePrefix="0" xfId="0">
      <alignment vertical="top" wrapText="1"/>
    </xf>
  </cellXfs>
  <cellStyles count="1">
    <cellStyle name="Normal" xfId="0" builtinId="0"/>
  </cellStyles>
  <dxfs count="3"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E0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estCases" displayName="TestCases" ref="A1:N99" headerRowCount="1" totalsRowShown="0">
  <autoFilter ref="A1:N99">
    <filterColumn colId="1" hiddenButton="0" showButton="1">
      <filters>
        <filter val="Part CRUD"/>
        <filter val="Read-only Fields"/>
        <filter val="Relational Integrity"/>
        <filter val="Schema Contract"/>
      </filters>
    </filterColumn>
  </autoFilter>
  <tableColumns count="14">
    <tableColumn id="1" name="TC ID"/>
    <tableColumn id="2" name="Module"/>
    <tableColumn id="3" name="Title / Scenario"/>
    <tableColumn id="4" name="Type"/>
    <tableColumn id="5" name="Priority"/>
    <tableColumn id="6" name="Preconditions"/>
    <tableColumn id="7" name="Method"/>
    <tableColumn id="8" name="Endpoint"/>
    <tableColumn id="9" name="Test Data"/>
    <tableColumn id="10" name="Steps"/>
    <tableColumn id="11" name="Expected Result"/>
    <tableColumn id="12" name="Actual Result"/>
    <tableColumn id="13" name="Status"/>
    <tableColumn id="14" name="Remark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0" zoomScaleNormal="100" workbookViewId="0">
      <selection activeCell="C25" sqref="C25"/>
    </sheetView>
  </sheetViews>
  <sheetFormatPr baseColWidth="10" defaultColWidth="8.6640625" defaultRowHeight="15"/>
  <cols>
    <col width="28" customWidth="1" min="1" max="1"/>
    <col width="14" customWidth="1" min="2" max="2"/>
    <col width="34" customWidth="1" min="3" max="3"/>
    <col width="14" customWidth="1" min="4" max="4"/>
    <col width="30" customWidth="1" min="5" max="5"/>
    <col width="34" customWidth="1" min="6" max="6"/>
  </cols>
  <sheetData>
    <row r="1" ht="18" customHeight="1">
      <c r="A1" s="1" t="inlineStr">
        <is>
          <t>InvenTree Parts &amp; Part Categories API — Test Suite Summary</t>
        </is>
      </c>
    </row>
    <row r="2">
      <c r="A2" s="2" t="inlineStr">
        <is>
          <t>Source: InvenTree API schema v530 (docs.inventree.org/en/stable/api/schema/part/). Target build: InvenTree 1.5.5.</t>
        </is>
      </c>
    </row>
    <row r="4">
      <c r="A4" s="3" t="inlineStr">
        <is>
          <t>Module</t>
        </is>
      </c>
      <c r="B4" s="3" t="inlineStr">
        <is>
          <t>Test cases</t>
        </is>
      </c>
      <c r="C4" s="3" t="inlineStr">
        <is>
          <t>Positive</t>
        </is>
      </c>
      <c r="D4" s="3" t="inlineStr">
        <is>
          <t>Negative</t>
        </is>
      </c>
      <c r="E4" s="3" t="inlineStr">
        <is>
          <t>Boundary</t>
        </is>
      </c>
    </row>
    <row r="5">
      <c r="A5" s="4" t="inlineStr">
        <is>
          <t>Part CRUD</t>
        </is>
      </c>
      <c r="B5" s="4">
        <f>COUNTIF('Test Cases'!$B:$B,$A5)</f>
        <v/>
      </c>
      <c r="C5" s="4">
        <f>COUNTIFS('Test Cases'!$B:$B,$A5,'Test Cases'!$D:$D,"Positive")</f>
        <v/>
      </c>
      <c r="D5" s="4">
        <f>COUNTIFS('Test Cases'!$B:$B,$A5,'Test Cases'!$D:$D,"Negative")</f>
        <v/>
      </c>
      <c r="E5" s="4">
        <f>COUNTIFS('Test Cases'!$B:$B,$A5,'Test Cases'!$D:$D,"Boundary")</f>
        <v/>
      </c>
    </row>
    <row r="6">
      <c r="A6" s="4" t="inlineStr">
        <is>
          <t>Category CRUD</t>
        </is>
      </c>
      <c r="B6" s="4">
        <f>COUNTIF('Test Cases'!$B:$B,$A6)</f>
        <v/>
      </c>
      <c r="C6" s="4">
        <f>COUNTIFS('Test Cases'!$B:$B,$A6,'Test Cases'!$D:$D,"Positive")</f>
        <v/>
      </c>
      <c r="D6" s="4">
        <f>COUNTIFS('Test Cases'!$B:$B,$A6,'Test Cases'!$D:$D,"Negative")</f>
        <v/>
      </c>
      <c r="E6" s="4">
        <f>COUNTIFS('Test Cases'!$B:$B,$A6,'Test Cases'!$D:$D,"Boundary")</f>
        <v/>
      </c>
    </row>
    <row r="7">
      <c r="A7" s="4" t="inlineStr">
        <is>
          <t>Filtering</t>
        </is>
      </c>
      <c r="B7" s="4">
        <f>COUNTIF('Test Cases'!$B:$B,$A7)</f>
        <v/>
      </c>
      <c r="C7" s="4">
        <f>COUNTIFS('Test Cases'!$B:$B,$A7,'Test Cases'!$D:$D,"Positive")</f>
        <v/>
      </c>
      <c r="D7" s="4">
        <f>COUNTIFS('Test Cases'!$B:$B,$A7,'Test Cases'!$D:$D,"Negative")</f>
        <v/>
      </c>
      <c r="E7" s="4">
        <f>COUNTIFS('Test Cases'!$B:$B,$A7,'Test Cases'!$D:$D,"Boundary")</f>
        <v/>
      </c>
    </row>
    <row r="8">
      <c r="A8" s="4" t="inlineStr">
        <is>
          <t>Pagination</t>
        </is>
      </c>
      <c r="B8" s="4">
        <f>COUNTIF('Test Cases'!$B:$B,$A8)</f>
        <v/>
      </c>
      <c r="C8" s="4">
        <f>COUNTIFS('Test Cases'!$B:$B,$A8,'Test Cases'!$D:$D,"Positive")</f>
        <v/>
      </c>
      <c r="D8" s="4">
        <f>COUNTIFS('Test Cases'!$B:$B,$A8,'Test Cases'!$D:$D,"Negative")</f>
        <v/>
      </c>
      <c r="E8" s="4">
        <f>COUNTIFS('Test Cases'!$B:$B,$A8,'Test Cases'!$D:$D,"Boundary")</f>
        <v/>
      </c>
    </row>
    <row r="9">
      <c r="A9" s="4" t="inlineStr">
        <is>
          <t>Ordering</t>
        </is>
      </c>
      <c r="B9" s="4">
        <f>COUNTIF('Test Cases'!$B:$B,$A9)</f>
        <v/>
      </c>
      <c r="C9" s="4">
        <f>COUNTIFS('Test Cases'!$B:$B,$A9,'Test Cases'!$D:$D,"Positive")</f>
        <v/>
      </c>
      <c r="D9" s="4">
        <f>COUNTIFS('Test Cases'!$B:$B,$A9,'Test Cases'!$D:$D,"Negative")</f>
        <v/>
      </c>
      <c r="E9" s="4">
        <f>COUNTIFS('Test Cases'!$B:$B,$A9,'Test Cases'!$D:$D,"Boundary")</f>
        <v/>
      </c>
    </row>
    <row r="10">
      <c r="A10" s="4" t="inlineStr">
        <is>
          <t>Search</t>
        </is>
      </c>
      <c r="B10" s="4">
        <f>COUNTIF('Test Cases'!$B:$B,$A10)</f>
        <v/>
      </c>
      <c r="C10" s="4">
        <f>COUNTIFS('Test Cases'!$B:$B,$A10,'Test Cases'!$D:$D,"Positive")</f>
        <v/>
      </c>
      <c r="D10" s="4">
        <f>COUNTIFS('Test Cases'!$B:$B,$A10,'Test Cases'!$D:$D,"Negative")</f>
        <v/>
      </c>
      <c r="E10" s="4">
        <f>COUNTIFS('Test Cases'!$B:$B,$A10,'Test Cases'!$D:$D,"Boundary")</f>
        <v/>
      </c>
    </row>
    <row r="11">
      <c r="A11" s="4" t="inlineStr">
        <is>
          <t>Field Validation</t>
        </is>
      </c>
      <c r="B11" s="4">
        <f>COUNTIF('Test Cases'!$B:$B,$A11)</f>
        <v/>
      </c>
      <c r="C11" s="4">
        <f>COUNTIFS('Test Cases'!$B:$B,$A11,'Test Cases'!$D:$D,"Positive")</f>
        <v/>
      </c>
      <c r="D11" s="4">
        <f>COUNTIFS('Test Cases'!$B:$B,$A11,'Test Cases'!$D:$D,"Negative")</f>
        <v/>
      </c>
      <c r="E11" s="4">
        <f>COUNTIFS('Test Cases'!$B:$B,$A11,'Test Cases'!$D:$D,"Boundary")</f>
        <v/>
      </c>
    </row>
    <row r="12">
      <c r="A12" s="4" t="inlineStr">
        <is>
          <t>Read-only Fields</t>
        </is>
      </c>
      <c r="B12" s="4">
        <f>COUNTIF('Test Cases'!$B:$B,$A12)</f>
        <v/>
      </c>
      <c r="C12" s="4">
        <f>COUNTIFS('Test Cases'!$B:$B,$A12,'Test Cases'!$D:$D,"Positive")</f>
        <v/>
      </c>
      <c r="D12" s="4">
        <f>COUNTIFS('Test Cases'!$B:$B,$A12,'Test Cases'!$D:$D,"Negative")</f>
        <v/>
      </c>
      <c r="E12" s="4">
        <f>COUNTIFS('Test Cases'!$B:$B,$A12,'Test Cases'!$D:$D,"Boundary")</f>
        <v/>
      </c>
    </row>
    <row r="13">
      <c r="A13" s="4" t="inlineStr">
        <is>
          <t>Relational Integrity</t>
        </is>
      </c>
      <c r="B13" s="4">
        <f>COUNTIF('Test Cases'!$B:$B,$A13)</f>
        <v/>
      </c>
      <c r="C13" s="4">
        <f>COUNTIFS('Test Cases'!$B:$B,$A13,'Test Cases'!$D:$D,"Positive")</f>
        <v/>
      </c>
      <c r="D13" s="4">
        <f>COUNTIFS('Test Cases'!$B:$B,$A13,'Test Cases'!$D:$D,"Negative")</f>
        <v/>
      </c>
      <c r="E13" s="4">
        <f>COUNTIFS('Test Cases'!$B:$B,$A13,'Test Cases'!$D:$D,"Boundary")</f>
        <v/>
      </c>
    </row>
    <row r="14">
      <c r="A14" s="4" t="inlineStr">
        <is>
          <t>Security</t>
        </is>
      </c>
      <c r="B14" s="4">
        <f>COUNTIF('Test Cases'!$B:$B,$A14)</f>
        <v/>
      </c>
      <c r="C14" s="4">
        <f>COUNTIFS('Test Cases'!$B:$B,$A14,'Test Cases'!$D:$D,"Positive")</f>
        <v/>
      </c>
      <c r="D14" s="4">
        <f>COUNTIFS('Test Cases'!$B:$B,$A14,'Test Cases'!$D:$D,"Negative")</f>
        <v/>
      </c>
      <c r="E14" s="4">
        <f>COUNTIFS('Test Cases'!$B:$B,$A14,'Test Cases'!$D:$D,"Boundary")</f>
        <v/>
      </c>
    </row>
    <row r="15">
      <c r="A15" s="4" t="inlineStr">
        <is>
          <t>Edge Cases</t>
        </is>
      </c>
      <c r="B15" s="4">
        <f>COUNTIF('Test Cases'!$B:$B,$A15)</f>
        <v/>
      </c>
      <c r="C15" s="4">
        <f>COUNTIFS('Test Cases'!$B:$B,$A15,'Test Cases'!$D:$D,"Positive")</f>
        <v/>
      </c>
      <c r="D15" s="4">
        <f>COUNTIFS('Test Cases'!$B:$B,$A15,'Test Cases'!$D:$D,"Negative")</f>
        <v/>
      </c>
      <c r="E15" s="4">
        <f>COUNTIFS('Test Cases'!$B:$B,$A15,'Test Cases'!$D:$D,"Boundary")</f>
        <v/>
      </c>
    </row>
    <row r="16">
      <c r="A16" s="4" t="inlineStr">
        <is>
          <t>Schema Contract</t>
        </is>
      </c>
      <c r="B16" s="4">
        <f>COUNTIF('Test Cases'!$B:$B,$A16)</f>
        <v/>
      </c>
      <c r="C16" s="4">
        <f>COUNTIFS('Test Cases'!$B:$B,$A16,'Test Cases'!$D:$D,"Positive")</f>
        <v/>
      </c>
      <c r="D16" s="4">
        <f>COUNTIFS('Test Cases'!$B:$B,$A16,'Test Cases'!$D:$D,"Negative")</f>
        <v/>
      </c>
      <c r="E16" s="4">
        <f>COUNTIFS('Test Cases'!$B:$B,$A16,'Test Cases'!$D:$D,"Boundary")</f>
        <v/>
      </c>
    </row>
    <row r="17">
      <c r="A17" s="5" t="inlineStr">
        <is>
          <t>Total</t>
        </is>
      </c>
      <c r="B17" s="5">
        <f>SUM(B5:B16)</f>
        <v/>
      </c>
      <c r="C17" s="5">
        <f>SUM(C5:C16)</f>
        <v/>
      </c>
      <c r="D17" s="5">
        <f>SUM(D5:D16)</f>
        <v/>
      </c>
      <c r="E17" s="5">
        <f>SUM(E5:E16)</f>
        <v/>
      </c>
    </row>
    <row r="19">
      <c r="A19" s="3" t="inlineStr">
        <is>
          <t>Execution status</t>
        </is>
      </c>
      <c r="B19" s="3" t="inlineStr">
        <is>
          <t>Test cases</t>
        </is>
      </c>
    </row>
    <row r="20">
      <c r="A20" s="4" t="inlineStr">
        <is>
          <t>Not Run</t>
        </is>
      </c>
      <c r="B20" s="4">
        <f>COUNTIF('Test Cases'!$M:$M,$A20)</f>
        <v/>
      </c>
    </row>
    <row r="21">
      <c r="A21" s="4" t="inlineStr">
        <is>
          <t>Pass</t>
        </is>
      </c>
      <c r="B21" s="4">
        <f>COUNTIF('Test Cases'!$M:$M,$A21)</f>
        <v/>
      </c>
    </row>
    <row r="22">
      <c r="A22" s="4" t="inlineStr">
        <is>
          <t>Fail</t>
        </is>
      </c>
      <c r="B22" s="4">
        <f>COUNTIF('Test Cases'!$M:$M,$A22)</f>
        <v/>
      </c>
    </row>
    <row r="23">
      <c r="A23" s="4" t="inlineStr">
        <is>
          <t>Blocked</t>
        </is>
      </c>
      <c r="B23" s="4">
        <f>COUNTIF('Test Cases'!$M:$M,$A23)</f>
        <v/>
      </c>
    </row>
    <row r="25">
      <c r="A25" s="3" t="inlineStr">
        <is>
          <t>Priority</t>
        </is>
      </c>
      <c r="B25" s="3" t="inlineStr">
        <is>
          <t>Test cases</t>
        </is>
      </c>
    </row>
    <row r="26">
      <c r="A26" s="4" t="inlineStr">
        <is>
          <t>P1</t>
        </is>
      </c>
      <c r="B26" s="4">
        <f>COUNTIF('Test Cases'!$E:$E,$A26)</f>
        <v/>
      </c>
    </row>
    <row r="27">
      <c r="A27" s="4" t="inlineStr">
        <is>
          <t>P2</t>
        </is>
      </c>
      <c r="B27" s="4">
        <f>COUNTIF('Test Cases'!$E:$E,$A27)</f>
        <v/>
      </c>
    </row>
    <row r="28">
      <c r="A28" s="4" t="inlineStr">
        <is>
          <t>P3</t>
        </is>
      </c>
      <c r="B28" s="4">
        <f>COUNTIF('Test Cases'!$E:$E,$A28)</f>
        <v/>
      </c>
    </row>
    <row r="30">
      <c r="A30" s="6" t="inlineStr">
        <is>
          <t>Priority key</t>
        </is>
      </c>
    </row>
    <row r="31">
      <c r="A31" s="7" t="inlineStr">
        <is>
          <t>P1 – critical path / data integrity; include in every smoke cycle</t>
        </is>
      </c>
    </row>
    <row r="32">
      <c r="A32" s="7" t="inlineStr">
        <is>
          <t>P2 – important business rule or common negative path</t>
        </is>
      </c>
    </row>
    <row r="33">
      <c r="A33" s="7" t="inlineStr">
        <is>
          <t>P3 – low-risk or cosmetic behaviour</t>
        </is>
      </c>
    </row>
    <row r="35">
      <c r="A35" s="8" t="inlineStr">
        <is>
          <t>Record results on the Test Cases sheet (yellow columns): Actual Result and Status (Not Run / Pass / Fail / Blocked).</t>
        </is>
      </c>
    </row>
    <row r="37">
      <c r="A37" s="9" t="inlineStr">
        <is>
          <t>Release execution plan</t>
        </is>
      </c>
    </row>
    <row r="38">
      <c r="A38" s="3" t="inlineStr">
        <is>
          <t>Release</t>
        </is>
      </c>
      <c r="B38" s="3" t="inlineStr">
        <is>
          <t>Cadence</t>
        </is>
      </c>
      <c r="C38" s="3" t="inlineStr">
        <is>
          <t>Scope</t>
        </is>
      </c>
      <c r="D38" s="3" t="inlineStr">
        <is>
          <t>Test cases</t>
        </is>
      </c>
      <c r="E38" s="3" t="inlineStr">
        <is>
          <t>Entry criteria</t>
        </is>
      </c>
      <c r="F38" s="3" t="inlineStr">
        <is>
          <t>Exit criteria</t>
        </is>
      </c>
    </row>
    <row r="39" ht="42" customHeight="1">
      <c r="A39" s="4" t="inlineStr">
        <is>
          <t>Minor release</t>
        </is>
      </c>
      <c r="B39" s="4" t="inlineStr">
        <is>
          <t>Bi-weekly</t>
        </is>
      </c>
      <c r="C39" s="4" t="inlineStr">
        <is>
          <t>All P1 + P2 cases; add P3 cases only for modules changed in the release</t>
        </is>
      </c>
      <c r="D39" s="4">
        <f>COUNTIF('Test Cases'!$E:$E,"P1")+COUNTIF('Test Cases'!$E:$E,"P2")</f>
        <v/>
      </c>
      <c r="E39" s="4" t="inlineStr">
        <is>
          <t>Build deployed to QA; release notes available; P1 smoke passes</t>
        </is>
      </c>
      <c r="F39" s="4" t="inlineStr">
        <is>
          <t>All P1 pass; no open Critical/High defects; fixed defects retested</t>
        </is>
      </c>
    </row>
    <row r="40" ht="42" customHeight="1">
      <c r="A40" s="4" t="inlineStr">
        <is>
          <t>Major release</t>
        </is>
      </c>
      <c r="B40" s="4" t="inlineStr">
        <is>
          <t>Quarterly</t>
        </is>
      </c>
      <c r="C40" s="4" t="inlineStr">
        <is>
          <t>Full pack (P1 + P2 + P3); re-verify every item on the Findings sheet</t>
        </is>
      </c>
      <c r="D40" s="4">
        <f>COUNTA('Test Cases'!$A:$A)-1</f>
        <v/>
      </c>
      <c r="E40" s="4" t="inlineStr">
        <is>
          <t>Feature-complete build on QA; DB migrations applied; P1 smoke passes</t>
        </is>
      </c>
      <c r="F40" s="4" t="inlineStr">
        <is>
          <t>All cases executed; pass rate &gt;= 98%; no open Critical/High defects; Findings re-checked</t>
        </is>
      </c>
    </row>
  </sheetData>
  <pageMargins left="0.75" right="0.75" top="1" bottom="1" header="0.511811023622047" footer="0.511811023622047"/>
  <pageSetup orientation="landscape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99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M12"/>
    </sheetView>
  </sheetViews>
  <sheetFormatPr baseColWidth="10" defaultColWidth="8.6640625" defaultRowHeight="15"/>
  <cols>
    <col width="13" customWidth="1" min="1" max="1"/>
    <col width="16" customWidth="1" min="2" max="2"/>
    <col width="38" customWidth="1" min="3" max="3"/>
    <col width="10" customWidth="1" min="4" max="4"/>
    <col width="8" customWidth="1" min="5" max="5"/>
    <col width="26" customWidth="1" min="6" max="6"/>
    <col width="10" customWidth="1" min="7" max="7"/>
    <col width="22" customWidth="1" min="8" max="8"/>
    <col width="34" customWidth="1" min="9" max="9"/>
    <col width="30" customWidth="1" min="10" max="10"/>
    <col width="42" customWidth="1" min="11" max="11"/>
    <col width="10.1640625" customWidth="1" min="12" max="12"/>
    <col width="12" customWidth="1" min="13" max="13"/>
    <col width="30" customWidth="1" min="14" max="14"/>
  </cols>
  <sheetData>
    <row r="1" ht="28" customHeight="1">
      <c r="A1" s="3" t="inlineStr">
        <is>
          <t>TC ID</t>
        </is>
      </c>
      <c r="B1" s="3" t="inlineStr">
        <is>
          <t>Module</t>
        </is>
      </c>
      <c r="C1" s="3" t="inlineStr">
        <is>
          <t>Title / Scenario</t>
        </is>
      </c>
      <c r="D1" s="3" t="inlineStr">
        <is>
          <t>Type</t>
        </is>
      </c>
      <c r="E1" s="3" t="inlineStr">
        <is>
          <t>Priority</t>
        </is>
      </c>
      <c r="F1" s="3" t="inlineStr">
        <is>
          <t>Preconditions</t>
        </is>
      </c>
      <c r="G1" s="3" t="inlineStr">
        <is>
          <t>Method</t>
        </is>
      </c>
      <c r="H1" s="3" t="inlineStr">
        <is>
          <t>Endpoint</t>
        </is>
      </c>
      <c r="I1" s="3" t="inlineStr">
        <is>
          <t>Test Data</t>
        </is>
      </c>
      <c r="J1" s="3" t="inlineStr">
        <is>
          <t>Steps</t>
        </is>
      </c>
      <c r="K1" s="3" t="inlineStr">
        <is>
          <t>Expected Result</t>
        </is>
      </c>
      <c r="L1" s="3" t="inlineStr">
        <is>
          <t>Actual Result</t>
        </is>
      </c>
      <c r="M1" s="3" t="inlineStr">
        <is>
          <t>Status</t>
        </is>
      </c>
      <c r="N1" s="3" t="inlineStr">
        <is>
          <t>Remarks</t>
        </is>
      </c>
    </row>
    <row r="2" ht="39" customHeight="1">
      <c r="A2" s="4" t="inlineStr">
        <is>
          <t>API-PART-001</t>
        </is>
      </c>
      <c r="B2" s="4" t="inlineStr">
        <is>
          <t>Part CRUD</t>
        </is>
      </c>
      <c r="C2" s="4" t="inlineStr">
        <is>
          <t>Create part with only the required field</t>
        </is>
      </c>
      <c r="D2" s="4" t="inlineStr">
        <is>
          <t>Positive</t>
        </is>
      </c>
      <c r="E2" s="4" t="inlineStr">
        <is>
          <t>P1</t>
        </is>
      </c>
      <c r="F2" s="4" t="inlineStr">
        <is>
          <t>Valid admin API token</t>
        </is>
      </c>
      <c r="G2" s="4" t="inlineStr">
        <is>
          <t>POST</t>
        </is>
      </c>
      <c r="H2" s="4" t="inlineStr">
        <is>
          <t>/api/part/</t>
        </is>
      </c>
      <c r="I2" s="4" t="inlineStr">
        <is>
          <t>{"name": "&lt;unique&gt;"}</t>
        </is>
      </c>
      <c r="J2" s="4" t="inlineStr">
        <is>
          <t>1. POST the payload
2. Inspect response body</t>
        </is>
      </c>
      <c r="K2" s="4" t="inlineStr">
        <is>
          <t>201 Created; body matches Part schema; name echoed; active=true by default; category=null; IPN blank; in_stock 0/null</t>
        </is>
      </c>
      <c r="L2" s="10" t="n"/>
      <c r="M2" s="10" t="inlineStr">
        <is>
          <t>Not Run</t>
        </is>
      </c>
      <c r="N2" s="4" t="n"/>
    </row>
    <row r="3" ht="65" customHeight="1">
      <c r="A3" s="4" t="inlineStr">
        <is>
          <t>API-PART-002</t>
        </is>
      </c>
      <c r="B3" s="4" t="inlineStr">
        <is>
          <t>Part CRUD</t>
        </is>
      </c>
      <c r="C3" s="4" t="inlineStr">
        <is>
          <t>Create part with all writable attributes</t>
        </is>
      </c>
      <c r="D3" s="4" t="inlineStr">
        <is>
          <t>Positive</t>
        </is>
      </c>
      <c r="E3" s="4" t="inlineStr">
        <is>
          <t>P1</t>
        </is>
      </c>
      <c r="F3" s="4" t="inlineStr">
        <is>
          <t>Valid admin API token; category C and stock location L exist</t>
        </is>
      </c>
      <c r="G3" s="4" t="inlineStr">
        <is>
          <t>POST</t>
        </is>
      </c>
      <c r="H3" s="4" t="inlineStr">
        <is>
          <t>/api/part/</t>
        </is>
      </c>
      <c r="I3" s="4" t="inlineStr">
        <is>
          <t>name, IPN, revision=A, keywords, units=m, link, minimum_stock=5, default_expiry=30, category=C, default_location=L, assembly/component/trackable/salable flags, notes</t>
        </is>
      </c>
      <c r="J3" s="4" t="inlineStr">
        <is>
          <t>1. POST payload
2. Compare every field in response</t>
        </is>
      </c>
      <c r="K3" s="4" t="inlineStr">
        <is>
          <t>201; every supplied value persisted verbatim; category_name = C.name; full_name contains IPN and name</t>
        </is>
      </c>
      <c r="L3" s="10" t="n"/>
      <c r="M3" s="10" t="inlineStr">
        <is>
          <t>Not Run</t>
        </is>
      </c>
      <c r="N3" s="4" t="n"/>
    </row>
    <row r="4">
      <c r="A4" s="4" t="inlineStr">
        <is>
          <t>API-PART-003</t>
        </is>
      </c>
      <c r="B4" s="4" t="inlineStr">
        <is>
          <t>Part CRUD</t>
        </is>
      </c>
      <c r="C4" s="4" t="inlineStr">
        <is>
          <t>Retrieve part by ID</t>
        </is>
      </c>
      <c r="D4" s="4" t="inlineStr">
        <is>
          <t>Positive</t>
        </is>
      </c>
      <c r="E4" s="4" t="inlineStr">
        <is>
          <t>P1</t>
        </is>
      </c>
      <c r="F4" s="4" t="inlineStr">
        <is>
          <t>Valid admin API token; part exists</t>
        </is>
      </c>
      <c r="G4" s="4" t="inlineStr">
        <is>
          <t>GET</t>
        </is>
      </c>
      <c r="H4" s="4" t="inlineStr">
        <is>
          <t>/api/part/{id}/</t>
        </is>
      </c>
      <c r="I4" s="4" t="inlineStr">
        <is>
          <t>id of existing part</t>
        </is>
      </c>
      <c r="J4" s="4" t="inlineStr">
        <is>
          <t>1. GET /api/part/{id}/</t>
        </is>
      </c>
      <c r="K4" s="4" t="inlineStr">
        <is>
          <t>200; schema-valid; pk and name match the created part</t>
        </is>
      </c>
      <c r="L4" s="10" t="n"/>
      <c r="M4" s="10" t="inlineStr">
        <is>
          <t>Not Run</t>
        </is>
      </c>
      <c r="N4" s="4" t="n"/>
    </row>
    <row r="5" ht="26" customHeight="1">
      <c r="A5" s="4" t="inlineStr">
        <is>
          <t>API-PART-004</t>
        </is>
      </c>
      <c r="B5" s="4" t="inlineStr">
        <is>
          <t>Part CRUD</t>
        </is>
      </c>
      <c r="C5" s="4" t="inlineStr">
        <is>
          <t>Retrieve part with category_detail and path_detail</t>
        </is>
      </c>
      <c r="D5" s="4" t="inlineStr">
        <is>
          <t>Positive</t>
        </is>
      </c>
      <c r="E5" s="4" t="inlineStr">
        <is>
          <t>P3</t>
        </is>
      </c>
      <c r="F5" s="4" t="inlineStr">
        <is>
          <t>Valid admin API token; part in category C</t>
        </is>
      </c>
      <c r="G5" s="4" t="inlineStr">
        <is>
          <t>GET</t>
        </is>
      </c>
      <c r="H5" s="4" t="inlineStr">
        <is>
          <t>/api/part/{id}/</t>
        </is>
      </c>
      <c r="I5" s="4" t="inlineStr">
        <is>
          <t>?category_detail=true&amp;path_detail=true</t>
        </is>
      </c>
      <c r="J5" s="4" t="inlineStr">
        <is>
          <t>1. GET with detail flags</t>
        </is>
      </c>
      <c r="K5" s="4" t="inlineStr">
        <is>
          <t>200; category_detail.pk = C; last category_path entry = C</t>
        </is>
      </c>
      <c r="L5" s="10" t="n"/>
      <c r="M5" s="10" t="inlineStr">
        <is>
          <t>Not Run</t>
        </is>
      </c>
      <c r="N5" s="4" t="n"/>
    </row>
    <row r="6" ht="26" customHeight="1">
      <c r="A6" s="4" t="inlineStr">
        <is>
          <t>API-PART-005</t>
        </is>
      </c>
      <c r="B6" s="4" t="inlineStr">
        <is>
          <t>Part CRUD</t>
        </is>
      </c>
      <c r="C6" s="4" t="inlineStr">
        <is>
          <t>PATCH updates only supplied fields</t>
        </is>
      </c>
      <c r="D6" s="4" t="inlineStr">
        <is>
          <t>Positive</t>
        </is>
      </c>
      <c r="E6" s="4" t="inlineStr">
        <is>
          <t>P1</t>
        </is>
      </c>
      <c r="F6" s="4" t="inlineStr">
        <is>
          <t>Valid admin API token; part with description + keywords</t>
        </is>
      </c>
      <c r="G6" s="4" t="inlineStr">
        <is>
          <t>PATCH</t>
        </is>
      </c>
      <c r="H6" s="4" t="inlineStr">
        <is>
          <t>/api/part/{id}/</t>
        </is>
      </c>
      <c r="I6" s="4" t="inlineStr">
        <is>
          <t>{"description": "after"}</t>
        </is>
      </c>
      <c r="J6" s="4" t="inlineStr">
        <is>
          <t>1. PATCH description only
2. GET the part</t>
        </is>
      </c>
      <c r="K6" s="4" t="inlineStr">
        <is>
          <t>200; description updated and persisted; keywords and name unchanged</t>
        </is>
      </c>
      <c r="L6" s="10" t="n"/>
      <c r="M6" s="10" t="inlineStr">
        <is>
          <t>Not Run</t>
        </is>
      </c>
      <c r="N6" s="4" t="n"/>
    </row>
    <row r="7">
      <c r="A7" s="4" t="inlineStr">
        <is>
          <t>API-PART-006</t>
        </is>
      </c>
      <c r="B7" s="4" t="inlineStr">
        <is>
          <t>Part CRUD</t>
        </is>
      </c>
      <c r="C7" s="4" t="inlineStr">
        <is>
          <t>PUT replaces part</t>
        </is>
      </c>
      <c r="D7" s="4" t="inlineStr">
        <is>
          <t>Positive</t>
        </is>
      </c>
      <c r="E7" s="4" t="inlineStr">
        <is>
          <t>P2</t>
        </is>
      </c>
      <c r="F7" s="4" t="inlineStr">
        <is>
          <t>Valid admin API token; part exists</t>
        </is>
      </c>
      <c r="G7" s="4" t="inlineStr">
        <is>
          <t>PUT</t>
        </is>
      </c>
      <c r="H7" s="4" t="inlineStr">
        <is>
          <t>/api/part/{id}/</t>
        </is>
      </c>
      <c r="I7" s="4" t="inlineStr">
        <is>
          <t>{"name": "&lt;new&gt;", "description": "via PUT"}</t>
        </is>
      </c>
      <c r="J7" s="4" t="inlineStr">
        <is>
          <t>1. PUT full representation</t>
        </is>
      </c>
      <c r="K7" s="4" t="inlineStr">
        <is>
          <t>200; name and description replaced</t>
        </is>
      </c>
      <c r="L7" s="10" t="n"/>
      <c r="M7" s="10" t="inlineStr">
        <is>
          <t>Not Run</t>
        </is>
      </c>
      <c r="N7" s="4" t="n"/>
    </row>
    <row r="8">
      <c r="A8" s="4" t="inlineStr">
        <is>
          <t>API-PART-007</t>
        </is>
      </c>
      <c r="B8" s="4" t="inlineStr">
        <is>
          <t>Part CRUD</t>
        </is>
      </c>
      <c r="C8" s="4" t="inlineStr">
        <is>
          <t>PUT without required name</t>
        </is>
      </c>
      <c r="D8" s="4" t="inlineStr">
        <is>
          <t>Negative</t>
        </is>
      </c>
      <c r="E8" s="4" t="inlineStr">
        <is>
          <t>P2</t>
        </is>
      </c>
      <c r="F8" s="4" t="inlineStr">
        <is>
          <t>Valid admin API token; part exists</t>
        </is>
      </c>
      <c r="G8" s="4" t="inlineStr">
        <is>
          <t>PUT</t>
        </is>
      </c>
      <c r="H8" s="4" t="inlineStr">
        <is>
          <t>/api/part/{id}/</t>
        </is>
      </c>
      <c r="I8" s="4" t="inlineStr">
        <is>
          <t>{"description": "no name"}</t>
        </is>
      </c>
      <c r="J8" s="4" t="inlineStr">
        <is>
          <t>1. PUT payload lacking name</t>
        </is>
      </c>
      <c r="K8" s="4" t="inlineStr">
        <is>
          <t>400; error keyed on 'name'; record unchanged</t>
        </is>
      </c>
      <c r="L8" s="10" t="n"/>
      <c r="M8" s="10" t="inlineStr">
        <is>
          <t>Not Run</t>
        </is>
      </c>
      <c r="N8" s="4" t="n"/>
    </row>
    <row r="9" ht="39" customHeight="1">
      <c r="A9" s="4" t="inlineStr">
        <is>
          <t>API-PART-008</t>
        </is>
      </c>
      <c r="B9" s="4" t="inlineStr">
        <is>
          <t>Part CRUD</t>
        </is>
      </c>
      <c r="C9" s="4" t="inlineStr">
        <is>
          <t>Toggle each boolean attribute (assembly, component, trackable, purchaseable, salable, virtual, is_template, testable, consumable)</t>
        </is>
      </c>
      <c r="D9" s="4" t="inlineStr">
        <is>
          <t>Positive</t>
        </is>
      </c>
      <c r="E9" s="4" t="inlineStr">
        <is>
          <t>P2</t>
        </is>
      </c>
      <c r="F9" s="4" t="inlineStr">
        <is>
          <t>Valid admin API token</t>
        </is>
      </c>
      <c r="G9" s="4" t="inlineStr">
        <is>
          <t>PATCH</t>
        </is>
      </c>
      <c r="H9" s="4" t="inlineStr">
        <is>
          <t>/api/part/{id}/</t>
        </is>
      </c>
      <c r="I9" s="4" t="inlineStr">
        <is>
          <t>{flag: true} then {flag: false}</t>
        </is>
      </c>
      <c r="J9" s="4" t="inlineStr">
        <is>
          <t>1. Create with flag=false
2. PATCH true
3. PATCH false</t>
        </is>
      </c>
      <c r="K9" s="4" t="inlineStr">
        <is>
          <t>200 each time; flag reflects last value</t>
        </is>
      </c>
      <c r="L9" s="10" t="n"/>
      <c r="M9" s="10" t="inlineStr">
        <is>
          <t>Not Run</t>
        </is>
      </c>
      <c r="N9" s="4" t="n"/>
    </row>
    <row r="10" ht="39" customHeight="1">
      <c r="A10" s="4" t="inlineStr">
        <is>
          <t>API-PART-009</t>
        </is>
      </c>
      <c r="B10" s="4" t="inlineStr">
        <is>
          <t>Part CRUD</t>
        </is>
      </c>
      <c r="C10" s="4" t="inlineStr">
        <is>
          <t>Delete an inactive part</t>
        </is>
      </c>
      <c r="D10" s="4" t="inlineStr">
        <is>
          <t>Positive</t>
        </is>
      </c>
      <c r="E10" s="4" t="inlineStr">
        <is>
          <t>P1</t>
        </is>
      </c>
      <c r="F10" s="4" t="inlineStr">
        <is>
          <t>Valid admin API token; part exists</t>
        </is>
      </c>
      <c r="G10" s="4" t="inlineStr">
        <is>
          <t>DELETE</t>
        </is>
      </c>
      <c r="H10" s="4" t="inlineStr">
        <is>
          <t>/api/part/{id}/</t>
        </is>
      </c>
      <c r="I10" s="4" t="inlineStr">
        <is>
          <t>PATCH active=false first</t>
        </is>
      </c>
      <c r="J10" s="4" t="inlineStr">
        <is>
          <t>1. PATCH active=false
2. DELETE
3. GET</t>
        </is>
      </c>
      <c r="K10" s="4" t="inlineStr">
        <is>
          <t>DELETE 204; subsequent GET 404</t>
        </is>
      </c>
      <c r="L10" s="10" t="n"/>
      <c r="M10" s="10" t="inlineStr">
        <is>
          <t>Not Run</t>
        </is>
      </c>
      <c r="N10" s="4" t="n"/>
    </row>
    <row r="11" ht="26" customHeight="1">
      <c r="A11" s="4" t="inlineStr">
        <is>
          <t>API-PART-010</t>
        </is>
      </c>
      <c r="B11" s="4" t="inlineStr">
        <is>
          <t>Part CRUD</t>
        </is>
      </c>
      <c r="C11" s="4" t="inlineStr">
        <is>
          <t>Delete an active part is blocked</t>
        </is>
      </c>
      <c r="D11" s="4" t="inlineStr">
        <is>
          <t>Negative</t>
        </is>
      </c>
      <c r="E11" s="4" t="inlineStr">
        <is>
          <t>P1</t>
        </is>
      </c>
      <c r="F11" s="4" t="inlineStr">
        <is>
          <t>Valid admin API token; active part</t>
        </is>
      </c>
      <c r="G11" s="4" t="inlineStr">
        <is>
          <t>DELETE</t>
        </is>
      </c>
      <c r="H11" s="4" t="inlineStr">
        <is>
          <t>/api/part/{id}/</t>
        </is>
      </c>
      <c r="I11" s="4" t="inlineStr">
        <is>
          <t>-</t>
        </is>
      </c>
      <c r="J11" s="4" t="inlineStr">
        <is>
          <t>1. DELETE active part
2. GET</t>
        </is>
      </c>
      <c r="K11" s="4" t="inlineStr">
        <is>
          <t>400 with message about active part; record still retrievable (200)</t>
        </is>
      </c>
      <c r="L11" s="10" t="n"/>
      <c r="M11" s="10" t="inlineStr">
        <is>
          <t>Not Run</t>
        </is>
      </c>
      <c r="N11" s="4" t="n"/>
    </row>
    <row r="12" ht="26" customHeight="1">
      <c r="A12" s="4" t="inlineStr">
        <is>
          <t>API-PART-011</t>
        </is>
      </c>
      <c r="B12" s="4" t="inlineStr">
        <is>
          <t>Part CRUD</t>
        </is>
      </c>
      <c r="C12" s="4" t="inlineStr">
        <is>
          <t>Delete a locked part is blocked</t>
        </is>
      </c>
      <c r="D12" s="4" t="inlineStr">
        <is>
          <t>Negative</t>
        </is>
      </c>
      <c r="E12" s="4" t="inlineStr">
        <is>
          <t>P2</t>
        </is>
      </c>
      <c r="F12" s="4" t="inlineStr">
        <is>
          <t>Valid admin API token; inactive + locked part</t>
        </is>
      </c>
      <c r="G12" s="4" t="inlineStr">
        <is>
          <t>DELETE</t>
        </is>
      </c>
      <c r="H12" s="4" t="inlineStr">
        <is>
          <t>/api/part/{id}/</t>
        </is>
      </c>
      <c r="I12" s="4" t="inlineStr">
        <is>
          <t>PATCH active=false, locked=true</t>
        </is>
      </c>
      <c r="J12" s="4" t="inlineStr">
        <is>
          <t>1. Lock part
2. DELETE</t>
        </is>
      </c>
      <c r="K12" s="4" t="inlineStr">
        <is>
          <t>400 mentioning 'locked'; record still exists</t>
        </is>
      </c>
      <c r="L12" s="10" t="n"/>
      <c r="M12" s="10" t="inlineStr">
        <is>
          <t>Not Run</t>
        </is>
      </c>
      <c r="N12" s="4" t="n"/>
    </row>
    <row r="13" ht="52" customHeight="1">
      <c r="A13" s="4" t="inlineStr">
        <is>
          <t>API-PART-012</t>
        </is>
      </c>
      <c r="B13" s="4" t="inlineStr">
        <is>
          <t>Part CRUD</t>
        </is>
      </c>
      <c r="C13" s="4" t="inlineStr">
        <is>
          <t>List reflects create and delete</t>
        </is>
      </c>
      <c r="D13" s="4" t="inlineStr">
        <is>
          <t>Positive</t>
        </is>
      </c>
      <c r="E13" s="4" t="inlineStr">
        <is>
          <t>P2</t>
        </is>
      </c>
      <c r="F13" s="4" t="inlineStr">
        <is>
          <t>Valid admin API token</t>
        </is>
      </c>
      <c r="G13" s="4" t="inlineStr">
        <is>
          <t>GET</t>
        </is>
      </c>
      <c r="H13" s="4" t="inlineStr">
        <is>
          <t>/api/part/</t>
        </is>
      </c>
      <c r="I13" s="4" t="inlineStr">
        <is>
          <t>?search=&lt;name&gt;</t>
        </is>
      </c>
      <c r="J13" s="4" t="inlineStr">
        <is>
          <t>1. Create
2. Search -&gt; present
3. Deactivate + delete
4. Search</t>
        </is>
      </c>
      <c r="K13" s="4" t="inlineStr">
        <is>
          <t>Part listed after create; absent after delete</t>
        </is>
      </c>
      <c r="L13" s="10" t="n"/>
      <c r="M13" s="10" t="inlineStr">
        <is>
          <t>Not Run</t>
        </is>
      </c>
      <c r="N13" s="4" t="n"/>
    </row>
    <row r="14" hidden="1" ht="26" customHeight="1">
      <c r="A14" s="4" t="inlineStr">
        <is>
          <t>API-CAT-001</t>
        </is>
      </c>
      <c r="B14" s="4" t="inlineStr">
        <is>
          <t>Category CRUD</t>
        </is>
      </c>
      <c r="C14" s="4" t="inlineStr">
        <is>
          <t>Create top-level category</t>
        </is>
      </c>
      <c r="D14" s="4" t="inlineStr">
        <is>
          <t>Positive</t>
        </is>
      </c>
      <c r="E14" s="4" t="inlineStr">
        <is>
          <t>P1</t>
        </is>
      </c>
      <c r="F14" s="4" t="inlineStr">
        <is>
          <t>Valid admin API token</t>
        </is>
      </c>
      <c r="G14" s="4" t="inlineStr">
        <is>
          <t>POST</t>
        </is>
      </c>
      <c r="H14" s="4" t="inlineStr">
        <is>
          <t>/api/part/category/</t>
        </is>
      </c>
      <c r="I14" s="4" t="inlineStr">
        <is>
          <t>{"name","description","default_keywords"}</t>
        </is>
      </c>
      <c r="J14" s="4" t="inlineStr">
        <is>
          <t>1. POST</t>
        </is>
      </c>
      <c r="K14" s="4" t="inlineStr">
        <is>
          <t>201; schema-valid; parent=null; level=0; pathstring=name; structural=false</t>
        </is>
      </c>
      <c r="L14" s="10" t="n"/>
      <c r="M14" s="10" t="inlineStr">
        <is>
          <t>Not Run</t>
        </is>
      </c>
      <c r="N14" s="4" t="n"/>
    </row>
    <row r="15" hidden="1" ht="26" customHeight="1">
      <c r="A15" s="4" t="inlineStr">
        <is>
          <t>API-CAT-002</t>
        </is>
      </c>
      <c r="B15" s="4" t="inlineStr">
        <is>
          <t>Category CRUD</t>
        </is>
      </c>
      <c r="C15" s="4" t="inlineStr">
        <is>
          <t>Create nested categories (3 levels)</t>
        </is>
      </c>
      <c r="D15" s="4" t="inlineStr">
        <is>
          <t>Positive</t>
        </is>
      </c>
      <c r="E15" s="4" t="inlineStr">
        <is>
          <t>P1</t>
        </is>
      </c>
      <c r="F15" s="4" t="inlineStr">
        <is>
          <t>Valid admin API token</t>
        </is>
      </c>
      <c r="G15" s="4" t="inlineStr">
        <is>
          <t>POST</t>
        </is>
      </c>
      <c r="H15" s="4" t="inlineStr">
        <is>
          <t>/api/part/category/</t>
        </is>
      </c>
      <c r="I15" s="4" t="inlineStr">
        <is>
          <t>parent=&lt;pk&gt;</t>
        </is>
      </c>
      <c r="J15" s="4" t="inlineStr">
        <is>
          <t>1. Create parent, child, grandchild
2. GET parent</t>
        </is>
      </c>
      <c r="K15" s="4" t="inlineStr">
        <is>
          <t>levels 0/1/2; grandchild pathstring 'P/C/G'; parent subcategories &gt;= 1</t>
        </is>
      </c>
      <c r="L15" s="10" t="n"/>
      <c r="M15" s="10" t="inlineStr">
        <is>
          <t>Not Run</t>
        </is>
      </c>
      <c r="N15" s="4" t="n"/>
    </row>
    <row r="16" hidden="1">
      <c r="A16" s="4" t="inlineStr">
        <is>
          <t>API-CAT-003</t>
        </is>
      </c>
      <c r="B16" s="4" t="inlineStr">
        <is>
          <t>Category CRUD</t>
        </is>
      </c>
      <c r="C16" s="4" t="inlineStr">
        <is>
          <t>Retrieve category</t>
        </is>
      </c>
      <c r="D16" s="4" t="inlineStr">
        <is>
          <t>Positive</t>
        </is>
      </c>
      <c r="E16" s="4" t="inlineStr">
        <is>
          <t>P1</t>
        </is>
      </c>
      <c r="F16" s="4" t="inlineStr">
        <is>
          <t>Valid admin API token</t>
        </is>
      </c>
      <c r="G16" s="4" t="inlineStr">
        <is>
          <t>GET</t>
        </is>
      </c>
      <c r="H16" s="4" t="inlineStr">
        <is>
          <t>/api/part/category/{id}/</t>
        </is>
      </c>
      <c r="I16" s="4" t="inlineStr">
        <is>
          <t>-</t>
        </is>
      </c>
      <c r="J16" s="4" t="inlineStr">
        <is>
          <t>1. GET</t>
        </is>
      </c>
      <c r="K16" s="4" t="inlineStr">
        <is>
          <t>200; schema-valid</t>
        </is>
      </c>
      <c r="L16" s="10" t="n"/>
      <c r="M16" s="10" t="inlineStr">
        <is>
          <t>Not Run</t>
        </is>
      </c>
      <c r="N16" s="4" t="n"/>
    </row>
    <row r="17" hidden="1" ht="26" customHeight="1">
      <c r="A17" s="4" t="inlineStr">
        <is>
          <t>API-CAT-004</t>
        </is>
      </c>
      <c r="B17" s="4" t="inlineStr">
        <is>
          <t>Category CRUD</t>
        </is>
      </c>
      <c r="C17" s="4" t="inlineStr">
        <is>
          <t>List categories filtered by parent</t>
        </is>
      </c>
      <c r="D17" s="4" t="inlineStr">
        <is>
          <t>Positive</t>
        </is>
      </c>
      <c r="E17" s="4" t="inlineStr">
        <is>
          <t>P2</t>
        </is>
      </c>
      <c r="F17" s="4" t="inlineStr">
        <is>
          <t>Valid admin API token; parent with 3 children</t>
        </is>
      </c>
      <c r="G17" s="4" t="inlineStr">
        <is>
          <t>GET</t>
        </is>
      </c>
      <c r="H17" s="4" t="inlineStr">
        <is>
          <t>/api/part/category/</t>
        </is>
      </c>
      <c r="I17" s="4" t="inlineStr">
        <is>
          <t>?parent=&lt;pk&gt;&amp;limit=50</t>
        </is>
      </c>
      <c r="J17" s="4" t="inlineStr">
        <is>
          <t>1. GET list</t>
        </is>
      </c>
      <c r="K17" s="4" t="inlineStr">
        <is>
          <t>200 paginated; results are exactly the 3 children</t>
        </is>
      </c>
      <c r="L17" s="10" t="n"/>
      <c r="M17" s="10" t="inlineStr">
        <is>
          <t>Not Run</t>
        </is>
      </c>
      <c r="N17" s="4" t="n"/>
    </row>
    <row r="18" hidden="1" ht="26" customHeight="1">
      <c r="A18" s="4" t="inlineStr">
        <is>
          <t>API-CAT-005</t>
        </is>
      </c>
      <c r="B18" s="4" t="inlineStr">
        <is>
          <t>Category CRUD</t>
        </is>
      </c>
      <c r="C18" s="4" t="inlineStr">
        <is>
          <t>Renaming a category rebuilds descendant paths</t>
        </is>
      </c>
      <c r="D18" s="4" t="inlineStr">
        <is>
          <t>Positive</t>
        </is>
      </c>
      <c r="E18" s="4" t="inlineStr">
        <is>
          <t>P2</t>
        </is>
      </c>
      <c r="F18" s="4" t="inlineStr">
        <is>
          <t>Valid admin API token; parent + child</t>
        </is>
      </c>
      <c r="G18" s="4" t="inlineStr">
        <is>
          <t>PATCH</t>
        </is>
      </c>
      <c r="H18" s="4" t="inlineStr">
        <is>
          <t>/api/part/category/{id}/</t>
        </is>
      </c>
      <c r="I18" s="4" t="inlineStr">
        <is>
          <t>{"name": "&lt;new&gt;"}</t>
        </is>
      </c>
      <c r="J18" s="4" t="inlineStr">
        <is>
          <t>1. Rename parent
2. GET child</t>
        </is>
      </c>
      <c r="K18" s="4" t="inlineStr">
        <is>
          <t>child.pathstring starts with new parent name</t>
        </is>
      </c>
      <c r="L18" s="10" t="n"/>
      <c r="M18" s="10" t="inlineStr">
        <is>
          <t>Not Run</t>
        </is>
      </c>
      <c r="N18" s="4" t="n"/>
    </row>
    <row r="19" hidden="1">
      <c r="A19" s="4" t="inlineStr">
        <is>
          <t>API-CAT-006</t>
        </is>
      </c>
      <c r="B19" s="4" t="inlineStr">
        <is>
          <t>Category CRUD</t>
        </is>
      </c>
      <c r="C19" s="4" t="inlineStr">
        <is>
          <t>PUT category</t>
        </is>
      </c>
      <c r="D19" s="4" t="inlineStr">
        <is>
          <t>Positive</t>
        </is>
      </c>
      <c r="E19" s="4" t="inlineStr">
        <is>
          <t>P3</t>
        </is>
      </c>
      <c r="F19" s="4" t="inlineStr">
        <is>
          <t>Valid admin API token</t>
        </is>
      </c>
      <c r="G19" s="4" t="inlineStr">
        <is>
          <t>PUT</t>
        </is>
      </c>
      <c r="H19" s="4" t="inlineStr">
        <is>
          <t>/api/part/category/{id}/</t>
        </is>
      </c>
      <c r="I19" s="4" t="inlineStr">
        <is>
          <t>{"name","description"}</t>
        </is>
      </c>
      <c r="J19" s="4" t="inlineStr">
        <is>
          <t>1. PUT</t>
        </is>
      </c>
      <c r="K19" s="4" t="inlineStr">
        <is>
          <t>200; name replaced</t>
        </is>
      </c>
      <c r="L19" s="10" t="n"/>
      <c r="M19" s="10" t="inlineStr">
        <is>
          <t>Not Run</t>
        </is>
      </c>
      <c r="N19" s="4" t="n"/>
    </row>
    <row r="20" hidden="1" ht="26" customHeight="1">
      <c r="A20" s="4" t="inlineStr">
        <is>
          <t>API-CAT-007</t>
        </is>
      </c>
      <c r="B20" s="4" t="inlineStr">
        <is>
          <t>Category CRUD</t>
        </is>
      </c>
      <c r="C20" s="4" t="inlineStr">
        <is>
          <t>Move category to a different parent</t>
        </is>
      </c>
      <c r="D20" s="4" t="inlineStr">
        <is>
          <t>Positive</t>
        </is>
      </c>
      <c r="E20" s="4" t="inlineStr">
        <is>
          <t>P2</t>
        </is>
      </c>
      <c r="F20" s="4" t="inlineStr">
        <is>
          <t>Valid admin API token; categories A, B; child under A</t>
        </is>
      </c>
      <c r="G20" s="4" t="inlineStr">
        <is>
          <t>PATCH</t>
        </is>
      </c>
      <c r="H20" s="4" t="inlineStr">
        <is>
          <t>/api/part/category/{id}/</t>
        </is>
      </c>
      <c r="I20" s="4" t="inlineStr">
        <is>
          <t>{"parent": B}</t>
        </is>
      </c>
      <c r="J20" s="4" t="inlineStr">
        <is>
          <t>1. PATCH parent</t>
        </is>
      </c>
      <c r="K20" s="4" t="inlineStr">
        <is>
          <t>200; parent=B; pathstring under B</t>
        </is>
      </c>
      <c r="L20" s="10" t="n"/>
      <c r="M20" s="10" t="inlineStr">
        <is>
          <t>Not Run</t>
        </is>
      </c>
      <c r="N20" s="4" t="n"/>
    </row>
    <row r="21" hidden="1" ht="26" customHeight="1">
      <c r="A21" s="4" t="inlineStr">
        <is>
          <t>API-CAT-008</t>
        </is>
      </c>
      <c r="B21" s="4" t="inlineStr">
        <is>
          <t>Category CRUD</t>
        </is>
      </c>
      <c r="C21" s="4" t="inlineStr">
        <is>
          <t>Delete empty category</t>
        </is>
      </c>
      <c r="D21" s="4" t="inlineStr">
        <is>
          <t>Positive</t>
        </is>
      </c>
      <c r="E21" s="4" t="inlineStr">
        <is>
          <t>P1</t>
        </is>
      </c>
      <c r="F21" s="4" t="inlineStr">
        <is>
          <t>Valid admin API token</t>
        </is>
      </c>
      <c r="G21" s="4" t="inlineStr">
        <is>
          <t>DELETE</t>
        </is>
      </c>
      <c r="H21" s="4" t="inlineStr">
        <is>
          <t>/api/part/category/{id}/</t>
        </is>
      </c>
      <c r="I21" s="4" t="inlineStr">
        <is>
          <t>{"delete_parts": false, "delete_child_categories": false}</t>
        </is>
      </c>
      <c r="J21" s="4" t="inlineStr">
        <is>
          <t>1. DELETE with flags
2. GET</t>
        </is>
      </c>
      <c r="K21" s="4" t="inlineStr">
        <is>
          <t>204; then 404</t>
        </is>
      </c>
      <c r="L21" s="10" t="n"/>
      <c r="M21" s="10" t="inlineStr">
        <is>
          <t>Not Run</t>
        </is>
      </c>
      <c r="N21" s="4" t="n"/>
    </row>
    <row r="22" hidden="1" ht="26" customHeight="1">
      <c r="A22" s="4" t="inlineStr">
        <is>
          <t>API-CAT-009</t>
        </is>
      </c>
      <c r="B22" s="4" t="inlineStr">
        <is>
          <t>Category CRUD</t>
        </is>
      </c>
      <c r="C22" s="4" t="inlineStr">
        <is>
          <t>Default delete re-parents children and parts</t>
        </is>
      </c>
      <c r="D22" s="4" t="inlineStr">
        <is>
          <t>Positive</t>
        </is>
      </c>
      <c r="E22" s="4" t="inlineStr">
        <is>
          <t>P1</t>
        </is>
      </c>
      <c r="F22" s="4" t="inlineStr">
        <is>
          <t>Valid admin API token; top &gt; mid &gt; leaf; part in mid</t>
        </is>
      </c>
      <c r="G22" s="4" t="inlineStr">
        <is>
          <t>DELETE</t>
        </is>
      </c>
      <c r="H22" s="4" t="inlineStr">
        <is>
          <t>/api/part/category/{id}/</t>
        </is>
      </c>
      <c r="I22" s="4" t="inlineStr">
        <is>
          <t>both flags false</t>
        </is>
      </c>
      <c r="J22" s="4" t="inlineStr">
        <is>
          <t>1. DELETE mid
2. GET leaf and part</t>
        </is>
      </c>
      <c r="K22" s="4" t="inlineStr">
        <is>
          <t>leaf.parent = top; part.category = top</t>
        </is>
      </c>
      <c r="L22" s="10" t="n"/>
      <c r="M22" s="10" t="inlineStr">
        <is>
          <t>Not Run</t>
        </is>
      </c>
      <c r="N22" s="4" t="n"/>
    </row>
    <row r="23" hidden="1" ht="26" customHeight="1">
      <c r="A23" s="4" t="inlineStr">
        <is>
          <t>API-CAT-010</t>
        </is>
      </c>
      <c r="B23" s="4" t="inlineStr">
        <is>
          <t>Category CRUD</t>
        </is>
      </c>
      <c r="C23" s="4" t="inlineStr">
        <is>
          <t>Delete with delete_child_categories=true</t>
        </is>
      </c>
      <c r="D23" s="4" t="inlineStr">
        <is>
          <t>Positive</t>
        </is>
      </c>
      <c r="E23" s="4" t="inlineStr">
        <is>
          <t>P2</t>
        </is>
      </c>
      <c r="F23" s="4" t="inlineStr">
        <is>
          <t>Valid admin API token; top &gt; mid &gt; leaf</t>
        </is>
      </c>
      <c r="G23" s="4" t="inlineStr">
        <is>
          <t>DELETE</t>
        </is>
      </c>
      <c r="H23" s="4" t="inlineStr">
        <is>
          <t>/api/part/category/{id}/</t>
        </is>
      </c>
      <c r="I23" s="4" t="inlineStr">
        <is>
          <t>{"delete_child_categories": true}</t>
        </is>
      </c>
      <c r="J23" s="4" t="inlineStr">
        <is>
          <t>1. DELETE mid</t>
        </is>
      </c>
      <c r="K23" s="4" t="inlineStr">
        <is>
          <t>204; leaf 404; top still 200</t>
        </is>
      </c>
      <c r="L23" s="10" t="n"/>
      <c r="M23" s="10" t="inlineStr">
        <is>
          <t>Not Run</t>
        </is>
      </c>
      <c r="N23" s="4" t="n"/>
    </row>
    <row r="24" hidden="1" ht="26" customHeight="1">
      <c r="A24" s="4" t="inlineStr">
        <is>
          <t>API-CAT-011</t>
        </is>
      </c>
      <c r="B24" s="4" t="inlineStr">
        <is>
          <t>Category CRUD</t>
        </is>
      </c>
      <c r="C24" s="4" t="inlineStr">
        <is>
          <t>Category tree endpoint includes new nodes</t>
        </is>
      </c>
      <c r="D24" s="4" t="inlineStr">
        <is>
          <t>Positive</t>
        </is>
      </c>
      <c r="E24" s="4" t="inlineStr">
        <is>
          <t>P3</t>
        </is>
      </c>
      <c r="F24" s="4" t="inlineStr">
        <is>
          <t>Valid admin API token</t>
        </is>
      </c>
      <c r="G24" s="4" t="inlineStr">
        <is>
          <t>GET</t>
        </is>
      </c>
      <c r="H24" s="4" t="inlineStr">
        <is>
          <t>/api/part/category/tree/</t>
        </is>
      </c>
      <c r="I24" s="4" t="inlineStr">
        <is>
          <t>-</t>
        </is>
      </c>
      <c r="J24" s="4" t="inlineStr">
        <is>
          <t>1. Create parent + child
2. GET tree</t>
        </is>
      </c>
      <c r="K24" s="4" t="inlineStr">
        <is>
          <t>child present with parent pointer</t>
        </is>
      </c>
      <c r="L24" s="10" t="n"/>
      <c r="M24" s="10" t="inlineStr">
        <is>
          <t>Not Run</t>
        </is>
      </c>
      <c r="N24" s="4" t="n"/>
    </row>
    <row r="25" hidden="1">
      <c r="A25" s="4" t="inlineStr">
        <is>
          <t>API-CAT-012</t>
        </is>
      </c>
      <c r="B25" s="4" t="inlineStr">
        <is>
          <t>Category CRUD</t>
        </is>
      </c>
      <c r="C25" s="4" t="inlineStr">
        <is>
          <t>Search categories by name</t>
        </is>
      </c>
      <c r="D25" s="4" t="inlineStr">
        <is>
          <t>Positive</t>
        </is>
      </c>
      <c r="E25" s="4" t="inlineStr">
        <is>
          <t>P3</t>
        </is>
      </c>
      <c r="F25" s="4" t="inlineStr">
        <is>
          <t>Valid admin API token</t>
        </is>
      </c>
      <c r="G25" s="4" t="inlineStr">
        <is>
          <t>GET</t>
        </is>
      </c>
      <c r="H25" s="4" t="inlineStr">
        <is>
          <t>/api/part/category/</t>
        </is>
      </c>
      <c r="I25" s="4" t="inlineStr">
        <is>
          <t>?search=&lt;name&gt;</t>
        </is>
      </c>
      <c r="J25" s="4" t="inlineStr">
        <is>
          <t>1. GET</t>
        </is>
      </c>
      <c r="K25" s="4" t="inlineStr">
        <is>
          <t>created category returned</t>
        </is>
      </c>
      <c r="L25" s="10" t="n"/>
      <c r="M25" s="10" t="inlineStr">
        <is>
          <t>Not Run</t>
        </is>
      </c>
      <c r="N25" s="4" t="n"/>
    </row>
    <row r="26" hidden="1">
      <c r="A26" s="4" t="inlineStr">
        <is>
          <t>API-CAT-013</t>
        </is>
      </c>
      <c r="B26" s="4" t="inlineStr">
        <is>
          <t>Category CRUD</t>
        </is>
      </c>
      <c r="C26" s="4" t="inlineStr">
        <is>
          <t>PUT category without name</t>
        </is>
      </c>
      <c r="D26" s="4" t="inlineStr">
        <is>
          <t>Negative</t>
        </is>
      </c>
      <c r="E26" s="4" t="inlineStr">
        <is>
          <t>P2</t>
        </is>
      </c>
      <c r="F26" s="4" t="inlineStr">
        <is>
          <t>Valid admin API token</t>
        </is>
      </c>
      <c r="G26" s="4" t="inlineStr">
        <is>
          <t>PUT</t>
        </is>
      </c>
      <c r="H26" s="4" t="inlineStr">
        <is>
          <t>/api/part/category/{id}/</t>
        </is>
      </c>
      <c r="I26" s="4" t="inlineStr">
        <is>
          <t>{"description": "x"}</t>
        </is>
      </c>
      <c r="J26" s="4" t="inlineStr">
        <is>
          <t>1. PUT</t>
        </is>
      </c>
      <c r="K26" s="4" t="inlineStr">
        <is>
          <t>400 on 'name'</t>
        </is>
      </c>
      <c r="L26" s="10" t="n"/>
      <c r="M26" s="10" t="inlineStr">
        <is>
          <t>Not Run</t>
        </is>
      </c>
      <c r="N26" s="4" t="n"/>
    </row>
    <row r="27" hidden="1" ht="39" customHeight="1">
      <c r="A27" s="4" t="inlineStr">
        <is>
          <t>API-CAT-014</t>
        </is>
      </c>
      <c r="B27" s="4" t="inlineStr">
        <is>
          <t>Category CRUD</t>
        </is>
      </c>
      <c r="C27" s="4" t="inlineStr">
        <is>
          <t>DELETE without cascade flags</t>
        </is>
      </c>
      <c r="D27" s="4" t="inlineStr">
        <is>
          <t>Negative</t>
        </is>
      </c>
      <c r="E27" s="4" t="inlineStr">
        <is>
          <t>P1</t>
        </is>
      </c>
      <c r="F27" s="4" t="inlineStr">
        <is>
          <t>Valid admin API token</t>
        </is>
      </c>
      <c r="G27" s="4" t="inlineStr">
        <is>
          <t>DELETE</t>
        </is>
      </c>
      <c r="H27" s="4" t="inlineStr">
        <is>
          <t>/api/part/category/{id}/</t>
        </is>
      </c>
      <c r="I27" s="4" t="inlineStr">
        <is>
          <t>(no body)</t>
        </is>
      </c>
      <c r="J27" s="4" t="inlineStr">
        <is>
          <t>1. DELETE with empty body
2. GET</t>
        </is>
      </c>
      <c r="K27" s="4" t="inlineStr">
        <is>
          <t>400 listing delete_parts and delete_child_categories as required; category not deleted. NOTE: not documented in OpenAPI</t>
        </is>
      </c>
      <c r="L27" s="10" t="n"/>
      <c r="M27" s="10" t="inlineStr">
        <is>
          <t>Not Run</t>
        </is>
      </c>
      <c r="N27" s="4" t="inlineStr">
        <is>
          <t>Undocumented mandatory body on DELETE</t>
        </is>
      </c>
    </row>
    <row r="28" hidden="1" ht="26" customHeight="1">
      <c r="A28" s="4" t="inlineStr">
        <is>
          <t>API-CAT-015</t>
        </is>
      </c>
      <c r="B28" s="4" t="inlineStr">
        <is>
          <t>Category CRUD</t>
        </is>
      </c>
      <c r="C28" s="4" t="inlineStr">
        <is>
          <t>Delete with delete_parts=true removes contained parts</t>
        </is>
      </c>
      <c r="D28" s="4" t="inlineStr">
        <is>
          <t>Positive</t>
        </is>
      </c>
      <c r="E28" s="4" t="inlineStr">
        <is>
          <t>P2</t>
        </is>
      </c>
      <c r="F28" s="4" t="inlineStr">
        <is>
          <t>Valid admin API token; inactive part in category</t>
        </is>
      </c>
      <c r="G28" s="4" t="inlineStr">
        <is>
          <t>DELETE</t>
        </is>
      </c>
      <c r="H28" s="4" t="inlineStr">
        <is>
          <t>/api/part/category/{id}/</t>
        </is>
      </c>
      <c r="I28" s="4" t="inlineStr">
        <is>
          <t>{"delete_parts": true}</t>
        </is>
      </c>
      <c r="J28" s="4" t="inlineStr">
        <is>
          <t>1. DELETE
2. GET part</t>
        </is>
      </c>
      <c r="K28" s="4" t="inlineStr">
        <is>
          <t>204; part 404</t>
        </is>
      </c>
      <c r="L28" s="10" t="n"/>
      <c r="M28" s="10" t="inlineStr">
        <is>
          <t>Not Run</t>
        </is>
      </c>
      <c r="N28" s="4" t="n"/>
    </row>
    <row r="29" hidden="1" ht="26" customHeight="1">
      <c r="A29" s="4" t="inlineStr">
        <is>
          <t>API-LIST-001</t>
        </is>
      </c>
      <c r="B29" s="4" t="inlineStr">
        <is>
          <t>Filtering</t>
        </is>
      </c>
      <c r="C29" s="4" t="inlineStr">
        <is>
          <t>category filter without cascade</t>
        </is>
      </c>
      <c r="D29" s="4" t="inlineStr">
        <is>
          <t>Positive</t>
        </is>
      </c>
      <c r="E29" s="4" t="inlineStr">
        <is>
          <t>P1</t>
        </is>
      </c>
      <c r="F29" s="4" t="inlineStr">
        <is>
          <t>Seeded catalogue (12 parts: 10 in Root, 2 in Child)</t>
        </is>
      </c>
      <c r="G29" s="4" t="inlineStr">
        <is>
          <t>GET</t>
        </is>
      </c>
      <c r="H29" s="4" t="inlineStr">
        <is>
          <t>/api/part/</t>
        </is>
      </c>
      <c r="I29" s="4" t="inlineStr">
        <is>
          <t>?category=Root&amp;cascade=false</t>
        </is>
      </c>
      <c r="J29" s="4" t="inlineStr">
        <is>
          <t>1. GET</t>
        </is>
      </c>
      <c r="K29" s="4" t="inlineStr">
        <is>
          <t>Only the 10 parts directly in Root</t>
        </is>
      </c>
      <c r="L29" s="10" t="n"/>
      <c r="M29" s="10" t="inlineStr">
        <is>
          <t>Not Run</t>
        </is>
      </c>
      <c r="N29" s="4" t="n"/>
    </row>
    <row r="30" hidden="1">
      <c r="A30" s="4" t="inlineStr">
        <is>
          <t>API-LIST-002</t>
        </is>
      </c>
      <c r="B30" s="4" t="inlineStr">
        <is>
          <t>Filtering</t>
        </is>
      </c>
      <c r="C30" s="4" t="inlineStr">
        <is>
          <t>category filter with cascade</t>
        </is>
      </c>
      <c r="D30" s="4" t="inlineStr">
        <is>
          <t>Positive</t>
        </is>
      </c>
      <c r="E30" s="4" t="inlineStr">
        <is>
          <t>P1</t>
        </is>
      </c>
      <c r="F30" s="4" t="inlineStr">
        <is>
          <t>Seeded catalogue</t>
        </is>
      </c>
      <c r="G30" s="4" t="inlineStr">
        <is>
          <t>GET</t>
        </is>
      </c>
      <c r="H30" s="4" t="inlineStr">
        <is>
          <t>/api/part/</t>
        </is>
      </c>
      <c r="I30" s="4" t="inlineStr">
        <is>
          <t>?category=Root&amp;cascade=true</t>
        </is>
      </c>
      <c r="J30" s="4" t="inlineStr">
        <is>
          <t>1. GET</t>
        </is>
      </c>
      <c r="K30" s="4" t="inlineStr">
        <is>
          <t>All 12 parts</t>
        </is>
      </c>
      <c r="L30" s="10" t="n"/>
      <c r="M30" s="10" t="inlineStr">
        <is>
          <t>Not Run</t>
        </is>
      </c>
      <c r="N30" s="4" t="n"/>
    </row>
    <row r="31" hidden="1">
      <c r="A31" s="4" t="inlineStr">
        <is>
          <t>API-LIST-003</t>
        </is>
      </c>
      <c r="B31" s="4" t="inlineStr">
        <is>
          <t>Filtering</t>
        </is>
      </c>
      <c r="C31" s="4" t="inlineStr">
        <is>
          <t>Filter by leaf category</t>
        </is>
      </c>
      <c r="D31" s="4" t="inlineStr">
        <is>
          <t>Positive</t>
        </is>
      </c>
      <c r="E31" s="4" t="inlineStr">
        <is>
          <t>P2</t>
        </is>
      </c>
      <c r="F31" s="4" t="inlineStr">
        <is>
          <t>Seeded catalogue</t>
        </is>
      </c>
      <c r="G31" s="4" t="inlineStr">
        <is>
          <t>GET</t>
        </is>
      </c>
      <c r="H31" s="4" t="inlineStr">
        <is>
          <t>/api/part/</t>
        </is>
      </c>
      <c r="I31" s="4" t="inlineStr">
        <is>
          <t>?category=Child</t>
        </is>
      </c>
      <c r="J31" s="4" t="inlineStr">
        <is>
          <t>1. GET</t>
        </is>
      </c>
      <c r="K31" s="4" t="inlineStr">
        <is>
          <t>P03, P04 only</t>
        </is>
      </c>
      <c r="L31" s="10" t="n"/>
      <c r="M31" s="10" t="inlineStr">
        <is>
          <t>Not Run</t>
        </is>
      </c>
      <c r="N31" s="4" t="n"/>
    </row>
    <row r="32" hidden="1">
      <c r="A32" s="4" t="inlineStr">
        <is>
          <t>API-LIST-004</t>
        </is>
      </c>
      <c r="B32" s="4" t="inlineStr">
        <is>
          <t>Filtering</t>
        </is>
      </c>
      <c r="C32" s="4" t="inlineStr">
        <is>
          <t>exclude_id with comma-separated IDs</t>
        </is>
      </c>
      <c r="D32" s="4" t="inlineStr">
        <is>
          <t>Positive</t>
        </is>
      </c>
      <c r="E32" s="4" t="inlineStr">
        <is>
          <t>P3</t>
        </is>
      </c>
      <c r="F32" s="4" t="inlineStr">
        <is>
          <t>Seeded catalogue</t>
        </is>
      </c>
      <c r="G32" s="4" t="inlineStr">
        <is>
          <t>GET</t>
        </is>
      </c>
      <c r="H32" s="4" t="inlineStr">
        <is>
          <t>/api/part/</t>
        </is>
      </c>
      <c r="I32" s="4" t="inlineStr">
        <is>
          <t>?exclude_id=P01,P02</t>
        </is>
      </c>
      <c r="J32" s="4" t="inlineStr">
        <is>
          <t>1. GET</t>
        </is>
      </c>
      <c r="K32" s="4" t="inlineStr">
        <is>
          <t>10 parts; P01/P02 absent</t>
        </is>
      </c>
      <c r="L32" s="10" t="n"/>
      <c r="M32" s="10" t="inlineStr">
        <is>
          <t>Not Run</t>
        </is>
      </c>
      <c r="N32" s="4" t="n"/>
    </row>
    <row r="33" hidden="1">
      <c r="A33" s="4" t="inlineStr">
        <is>
          <t>API-LIST-005</t>
        </is>
      </c>
      <c r="B33" s="4" t="inlineStr">
        <is>
          <t>Filtering</t>
        </is>
      </c>
      <c r="C33" s="4" t="inlineStr">
        <is>
          <t>Malformed boolean filter value</t>
        </is>
      </c>
      <c r="D33" s="4" t="inlineStr">
        <is>
          <t>Boundary</t>
        </is>
      </c>
      <c r="E33" s="4" t="inlineStr">
        <is>
          <t>P3</t>
        </is>
      </c>
      <c r="F33" s="4" t="inlineStr">
        <is>
          <t>Seeded catalogue</t>
        </is>
      </c>
      <c r="G33" s="4" t="inlineStr">
        <is>
          <t>GET</t>
        </is>
      </c>
      <c r="H33" s="4" t="inlineStr">
        <is>
          <t>/api/part/</t>
        </is>
      </c>
      <c r="I33" s="4" t="inlineStr">
        <is>
          <t>?active=notbool | ?active=2</t>
        </is>
      </c>
      <c r="J33" s="4" t="inlineStr">
        <is>
          <t>1. GET</t>
        </is>
      </c>
      <c r="K33" s="4" t="inlineStr">
        <is>
          <t>No 5xx (200 or 400)</t>
        </is>
      </c>
      <c r="L33" s="10" t="n"/>
      <c r="M33" s="10" t="inlineStr">
        <is>
          <t>Not Run</t>
        </is>
      </c>
      <c r="N33" s="4" t="n"/>
    </row>
    <row r="34" hidden="1" ht="26" customHeight="1">
      <c r="A34" s="4" t="inlineStr">
        <is>
          <t>API-LIST-010</t>
        </is>
      </c>
      <c r="B34" s="4" t="inlineStr">
        <is>
          <t>Filtering</t>
        </is>
      </c>
      <c r="C34" s="4" t="inlineStr">
        <is>
          <t>Filter: active=false</t>
        </is>
      </c>
      <c r="D34" s="4" t="inlineStr">
        <is>
          <t>Positive</t>
        </is>
      </c>
      <c r="E34" s="4" t="inlineStr">
        <is>
          <t>P2</t>
        </is>
      </c>
      <c r="F34" s="4" t="inlineStr">
        <is>
          <t>Seeded catalogue (12 parts P01–P12 with known flags)</t>
        </is>
      </c>
      <c r="G34" s="4" t="inlineStr">
        <is>
          <t>GET</t>
        </is>
      </c>
      <c r="H34" s="4" t="inlineStr">
        <is>
          <t>/api/part/</t>
        </is>
      </c>
      <c r="I34" s="4" t="inlineStr">
        <is>
          <t>?category=Root&amp;cascade=true&amp;active=false</t>
        </is>
      </c>
      <c r="J34" s="4" t="inlineStr">
        <is>
          <t>1. GET with filter scoped to seeded tree</t>
        </is>
      </c>
      <c r="K34" s="4" t="inlineStr">
        <is>
          <t>200; result set is exactly P03</t>
        </is>
      </c>
      <c r="L34" s="10" t="n"/>
      <c r="M34" s="10" t="inlineStr">
        <is>
          <t>Not Run</t>
        </is>
      </c>
      <c r="N34" s="4" t="n"/>
    </row>
    <row r="35" hidden="1" ht="26" customHeight="1">
      <c r="A35" s="4" t="inlineStr">
        <is>
          <t>API-LIST-011</t>
        </is>
      </c>
      <c r="B35" s="4" t="inlineStr">
        <is>
          <t>Filtering</t>
        </is>
      </c>
      <c r="C35" s="4" t="inlineStr">
        <is>
          <t>Filter: assembly=true</t>
        </is>
      </c>
      <c r="D35" s="4" t="inlineStr">
        <is>
          <t>Positive</t>
        </is>
      </c>
      <c r="E35" s="4" t="inlineStr">
        <is>
          <t>P2</t>
        </is>
      </c>
      <c r="F35" s="4" t="inlineStr">
        <is>
          <t>Seeded catalogue (12 parts P01–P12 with known flags)</t>
        </is>
      </c>
      <c r="G35" s="4" t="inlineStr">
        <is>
          <t>GET</t>
        </is>
      </c>
      <c r="H35" s="4" t="inlineStr">
        <is>
          <t>/api/part/</t>
        </is>
      </c>
      <c r="I35" s="4" t="inlineStr">
        <is>
          <t>?category=Root&amp;cascade=true&amp;assembly=true</t>
        </is>
      </c>
      <c r="J35" s="4" t="inlineStr">
        <is>
          <t>1. GET with filter scoped to seeded tree</t>
        </is>
      </c>
      <c r="K35" s="4" t="inlineStr">
        <is>
          <t>200; result set is exactly P01</t>
        </is>
      </c>
      <c r="L35" s="10" t="n"/>
      <c r="M35" s="10" t="inlineStr">
        <is>
          <t>Not Run</t>
        </is>
      </c>
      <c r="N35" s="4" t="n"/>
    </row>
    <row r="36" hidden="1" ht="26" customHeight="1">
      <c r="A36" s="4" t="inlineStr">
        <is>
          <t>API-LIST-012</t>
        </is>
      </c>
      <c r="B36" s="4" t="inlineStr">
        <is>
          <t>Filtering</t>
        </is>
      </c>
      <c r="C36" s="4" t="inlineStr">
        <is>
          <t>Filter: component=true</t>
        </is>
      </c>
      <c r="D36" s="4" t="inlineStr">
        <is>
          <t>Positive</t>
        </is>
      </c>
      <c r="E36" s="4" t="inlineStr">
        <is>
          <t>P2</t>
        </is>
      </c>
      <c r="F36" s="4" t="inlineStr">
        <is>
          <t>Seeded catalogue (12 parts P01–P12 with known flags)</t>
        </is>
      </c>
      <c r="G36" s="4" t="inlineStr">
        <is>
          <t>GET</t>
        </is>
      </c>
      <c r="H36" s="4" t="inlineStr">
        <is>
          <t>/api/part/</t>
        </is>
      </c>
      <c r="I36" s="4" t="inlineStr">
        <is>
          <t>?category=Root&amp;cascade=true&amp;component=true</t>
        </is>
      </c>
      <c r="J36" s="4" t="inlineStr">
        <is>
          <t>1. GET with filter scoped to seeded tree</t>
        </is>
      </c>
      <c r="K36" s="4" t="inlineStr">
        <is>
          <t>200; result set is exactly P02, P03, P06, P07, P08, P09, P10, P11, P12</t>
        </is>
      </c>
      <c r="L36" s="10" t="n"/>
      <c r="M36" s="10" t="inlineStr">
        <is>
          <t>Not Run</t>
        </is>
      </c>
      <c r="N36" s="4" t="n"/>
    </row>
    <row r="37" hidden="1" ht="26" customHeight="1">
      <c r="A37" s="4" t="inlineStr">
        <is>
          <t>API-LIST-013</t>
        </is>
      </c>
      <c r="B37" s="4" t="inlineStr">
        <is>
          <t>Filtering</t>
        </is>
      </c>
      <c r="C37" s="4" t="inlineStr">
        <is>
          <t>Filter: purchaseable=true</t>
        </is>
      </c>
      <c r="D37" s="4" t="inlineStr">
        <is>
          <t>Positive</t>
        </is>
      </c>
      <c r="E37" s="4" t="inlineStr">
        <is>
          <t>P2</t>
        </is>
      </c>
      <c r="F37" s="4" t="inlineStr">
        <is>
          <t>Seeded catalogue (12 parts P01–P12 with known flags)</t>
        </is>
      </c>
      <c r="G37" s="4" t="inlineStr">
        <is>
          <t>GET</t>
        </is>
      </c>
      <c r="H37" s="4" t="inlineStr">
        <is>
          <t>/api/part/</t>
        </is>
      </c>
      <c r="I37" s="4" t="inlineStr">
        <is>
          <t>?category=Root&amp;cascade=true&amp;purchaseable=true</t>
        </is>
      </c>
      <c r="J37" s="4" t="inlineStr">
        <is>
          <t>1. GET with filter scoped to seeded tree</t>
        </is>
      </c>
      <c r="K37" s="4" t="inlineStr">
        <is>
          <t>200; result set is exactly P02, P06, P07, P08, P09, P10, P11, P12</t>
        </is>
      </c>
      <c r="L37" s="10" t="n"/>
      <c r="M37" s="10" t="inlineStr">
        <is>
          <t>Not Run</t>
        </is>
      </c>
      <c r="N37" s="4" t="n"/>
    </row>
    <row r="38" hidden="1" ht="26" customHeight="1">
      <c r="A38" s="4" t="inlineStr">
        <is>
          <t>API-LIST-014</t>
        </is>
      </c>
      <c r="B38" s="4" t="inlineStr">
        <is>
          <t>Filtering</t>
        </is>
      </c>
      <c r="C38" s="4" t="inlineStr">
        <is>
          <t>Filter: salable=true</t>
        </is>
      </c>
      <c r="D38" s="4" t="inlineStr">
        <is>
          <t>Positive</t>
        </is>
      </c>
      <c r="E38" s="4" t="inlineStr">
        <is>
          <t>P2</t>
        </is>
      </c>
      <c r="F38" s="4" t="inlineStr">
        <is>
          <t>Seeded catalogue (12 parts P01–P12 with known flags)</t>
        </is>
      </c>
      <c r="G38" s="4" t="inlineStr">
        <is>
          <t>GET</t>
        </is>
      </c>
      <c r="H38" s="4" t="inlineStr">
        <is>
          <t>/api/part/</t>
        </is>
      </c>
      <c r="I38" s="4" t="inlineStr">
        <is>
          <t>?category=Root&amp;cascade=true&amp;salable=true</t>
        </is>
      </c>
      <c r="J38" s="4" t="inlineStr">
        <is>
          <t>1. GET with filter scoped to seeded tree</t>
        </is>
      </c>
      <c r="K38" s="4" t="inlineStr">
        <is>
          <t>200; result set is exactly P03, P05</t>
        </is>
      </c>
      <c r="L38" s="10" t="n"/>
      <c r="M38" s="10" t="inlineStr">
        <is>
          <t>Not Run</t>
        </is>
      </c>
      <c r="N38" s="4" t="n"/>
    </row>
    <row r="39" hidden="1" ht="26" customHeight="1">
      <c r="A39" s="4" t="inlineStr">
        <is>
          <t>API-LIST-015</t>
        </is>
      </c>
      <c r="B39" s="4" t="inlineStr">
        <is>
          <t>Filtering</t>
        </is>
      </c>
      <c r="C39" s="4" t="inlineStr">
        <is>
          <t>Filter: trackable=true</t>
        </is>
      </c>
      <c r="D39" s="4" t="inlineStr">
        <is>
          <t>Positive</t>
        </is>
      </c>
      <c r="E39" s="4" t="inlineStr">
        <is>
          <t>P2</t>
        </is>
      </c>
      <c r="F39" s="4" t="inlineStr">
        <is>
          <t>Seeded catalogue (12 parts P01–P12 with known flags)</t>
        </is>
      </c>
      <c r="G39" s="4" t="inlineStr">
        <is>
          <t>GET</t>
        </is>
      </c>
      <c r="H39" s="4" t="inlineStr">
        <is>
          <t>/api/part/</t>
        </is>
      </c>
      <c r="I39" s="4" t="inlineStr">
        <is>
          <t>?category=Root&amp;cascade=true&amp;trackable=true</t>
        </is>
      </c>
      <c r="J39" s="4" t="inlineStr">
        <is>
          <t>1. GET with filter scoped to seeded tree</t>
        </is>
      </c>
      <c r="K39" s="4" t="inlineStr">
        <is>
          <t>200; result set is exactly P04</t>
        </is>
      </c>
      <c r="L39" s="10" t="n"/>
      <c r="M39" s="10" t="inlineStr">
        <is>
          <t>Not Run</t>
        </is>
      </c>
      <c r="N39" s="4" t="n"/>
    </row>
    <row r="40" hidden="1" ht="26" customHeight="1">
      <c r="A40" s="4" t="inlineStr">
        <is>
          <t>API-LIST-016</t>
        </is>
      </c>
      <c r="B40" s="4" t="inlineStr">
        <is>
          <t>Filtering</t>
        </is>
      </c>
      <c r="C40" s="4" t="inlineStr">
        <is>
          <t>Filter: virtual=true</t>
        </is>
      </c>
      <c r="D40" s="4" t="inlineStr">
        <is>
          <t>Positive</t>
        </is>
      </c>
      <c r="E40" s="4" t="inlineStr">
        <is>
          <t>P2</t>
        </is>
      </c>
      <c r="F40" s="4" t="inlineStr">
        <is>
          <t>Seeded catalogue (12 parts P01–P12 with known flags)</t>
        </is>
      </c>
      <c r="G40" s="4" t="inlineStr">
        <is>
          <t>GET</t>
        </is>
      </c>
      <c r="H40" s="4" t="inlineStr">
        <is>
          <t>/api/part/</t>
        </is>
      </c>
      <c r="I40" s="4" t="inlineStr">
        <is>
          <t>?category=Root&amp;cascade=true&amp;virtual=true</t>
        </is>
      </c>
      <c r="J40" s="4" t="inlineStr">
        <is>
          <t>1. GET with filter scoped to seeded tree</t>
        </is>
      </c>
      <c r="K40" s="4" t="inlineStr">
        <is>
          <t>200; result set is exactly P05</t>
        </is>
      </c>
      <c r="L40" s="10" t="n"/>
      <c r="M40" s="10" t="inlineStr">
        <is>
          <t>Not Run</t>
        </is>
      </c>
      <c r="N40" s="4" t="n"/>
    </row>
    <row r="41" hidden="1" ht="26" customHeight="1">
      <c r="A41" s="4" t="inlineStr">
        <is>
          <t>API-LIST-017</t>
        </is>
      </c>
      <c r="B41" s="4" t="inlineStr">
        <is>
          <t>Filtering</t>
        </is>
      </c>
      <c r="C41" s="4" t="inlineStr">
        <is>
          <t>Filter: is_template=true</t>
        </is>
      </c>
      <c r="D41" s="4" t="inlineStr">
        <is>
          <t>Positive</t>
        </is>
      </c>
      <c r="E41" s="4" t="inlineStr">
        <is>
          <t>P2</t>
        </is>
      </c>
      <c r="F41" s="4" t="inlineStr">
        <is>
          <t>Seeded catalogue (12 parts P01–P12 with known flags)</t>
        </is>
      </c>
      <c r="G41" s="4" t="inlineStr">
        <is>
          <t>GET</t>
        </is>
      </c>
      <c r="H41" s="4" t="inlineStr">
        <is>
          <t>/api/part/</t>
        </is>
      </c>
      <c r="I41" s="4" t="inlineStr">
        <is>
          <t>?category=Root&amp;cascade=true&amp;is_template=true</t>
        </is>
      </c>
      <c r="J41" s="4" t="inlineStr">
        <is>
          <t>1. GET with filter scoped to seeded tree</t>
        </is>
      </c>
      <c r="K41" s="4" t="inlineStr">
        <is>
          <t>200; result set is exactly P04</t>
        </is>
      </c>
      <c r="L41" s="10" t="n"/>
      <c r="M41" s="10" t="inlineStr">
        <is>
          <t>Not Run</t>
        </is>
      </c>
      <c r="N41" s="4" t="n"/>
    </row>
    <row r="42" hidden="1" ht="26" customHeight="1">
      <c r="A42" s="4" t="inlineStr">
        <is>
          <t>API-LIST-018</t>
        </is>
      </c>
      <c r="B42" s="4" t="inlineStr">
        <is>
          <t>Filtering</t>
        </is>
      </c>
      <c r="C42" s="4" t="inlineStr">
        <is>
          <t>Filter: has_ipn=true</t>
        </is>
      </c>
      <c r="D42" s="4" t="inlineStr">
        <is>
          <t>Positive</t>
        </is>
      </c>
      <c r="E42" s="4" t="inlineStr">
        <is>
          <t>P2</t>
        </is>
      </c>
      <c r="F42" s="4" t="inlineStr">
        <is>
          <t>Seeded catalogue (12 parts P01–P12 with known flags)</t>
        </is>
      </c>
      <c r="G42" s="4" t="inlineStr">
        <is>
          <t>GET</t>
        </is>
      </c>
      <c r="H42" s="4" t="inlineStr">
        <is>
          <t>/api/part/</t>
        </is>
      </c>
      <c r="I42" s="4" t="inlineStr">
        <is>
          <t>?category=Root&amp;cascade=true&amp;has_ipn=true</t>
        </is>
      </c>
      <c r="J42" s="4" t="inlineStr">
        <is>
          <t>1. GET with filter scoped to seeded tree</t>
        </is>
      </c>
      <c r="K42" s="4" t="inlineStr">
        <is>
          <t>200; result set is exactly P01, P04</t>
        </is>
      </c>
      <c r="L42" s="10" t="n"/>
      <c r="M42" s="10" t="inlineStr">
        <is>
          <t>Not Run</t>
        </is>
      </c>
      <c r="N42" s="4" t="n"/>
    </row>
    <row r="43" hidden="1" ht="26" customHeight="1">
      <c r="A43" s="4" t="inlineStr">
        <is>
          <t>API-LIST-019</t>
        </is>
      </c>
      <c r="B43" s="4" t="inlineStr">
        <is>
          <t>Filtering</t>
        </is>
      </c>
      <c r="C43" s="4" t="inlineStr">
        <is>
          <t>Filter: has_ipn=false</t>
        </is>
      </c>
      <c r="D43" s="4" t="inlineStr">
        <is>
          <t>Positive</t>
        </is>
      </c>
      <c r="E43" s="4" t="inlineStr">
        <is>
          <t>P2</t>
        </is>
      </c>
      <c r="F43" s="4" t="inlineStr">
        <is>
          <t>Seeded catalogue (12 parts P01–P12 with known flags)</t>
        </is>
      </c>
      <c r="G43" s="4" t="inlineStr">
        <is>
          <t>GET</t>
        </is>
      </c>
      <c r="H43" s="4" t="inlineStr">
        <is>
          <t>/api/part/</t>
        </is>
      </c>
      <c r="I43" s="4" t="inlineStr">
        <is>
          <t>?category=Root&amp;cascade=true&amp;has_ipn=false</t>
        </is>
      </c>
      <c r="J43" s="4" t="inlineStr">
        <is>
          <t>1. GET with filter scoped to seeded tree</t>
        </is>
      </c>
      <c r="K43" s="4" t="inlineStr">
        <is>
          <t>200; result set is exactly P02, P03, P05, P06, P07, P08, P09, P10, P11, P12</t>
        </is>
      </c>
      <c r="L43" s="10" t="n"/>
      <c r="M43" s="10" t="inlineStr">
        <is>
          <t>Not Run</t>
        </is>
      </c>
      <c r="N43" s="4" t="n"/>
    </row>
    <row r="44" hidden="1" ht="26" customHeight="1">
      <c r="A44" s="4" t="inlineStr">
        <is>
          <t>API-LIST-020</t>
        </is>
      </c>
      <c r="B44" s="4" t="inlineStr">
        <is>
          <t>Filtering</t>
        </is>
      </c>
      <c r="C44" s="4" t="inlineStr">
        <is>
          <t>Filter: IPN exact</t>
        </is>
      </c>
      <c r="D44" s="4" t="inlineStr">
        <is>
          <t>Positive</t>
        </is>
      </c>
      <c r="E44" s="4" t="inlineStr">
        <is>
          <t>P2</t>
        </is>
      </c>
      <c r="F44" s="4" t="inlineStr">
        <is>
          <t>Seeded catalogue (12 parts P01–P12 with known flags)</t>
        </is>
      </c>
      <c r="G44" s="4" t="inlineStr">
        <is>
          <t>GET</t>
        </is>
      </c>
      <c r="H44" s="4" t="inlineStr">
        <is>
          <t>/api/part/</t>
        </is>
      </c>
      <c r="I44" s="4" t="inlineStr">
        <is>
          <t>?category=Root&amp;cascade=true&amp;IPN=&lt;run&gt;-IPN-04</t>
        </is>
      </c>
      <c r="J44" s="4" t="inlineStr">
        <is>
          <t>1. GET with filter scoped to seeded tree</t>
        </is>
      </c>
      <c r="K44" s="4" t="inlineStr">
        <is>
          <t>200; result set is exactly P04</t>
        </is>
      </c>
      <c r="L44" s="10" t="n"/>
      <c r="M44" s="10" t="inlineStr">
        <is>
          <t>Not Run</t>
        </is>
      </c>
      <c r="N44" s="4" t="n"/>
    </row>
    <row r="45" hidden="1" ht="26" customHeight="1">
      <c r="A45" s="4" t="inlineStr">
        <is>
          <t>API-LIST-021</t>
        </is>
      </c>
      <c r="B45" s="4" t="inlineStr">
        <is>
          <t>Filtering</t>
        </is>
      </c>
      <c r="C45" s="4" t="inlineStr">
        <is>
          <t>Filter: name_regex</t>
        </is>
      </c>
      <c r="D45" s="4" t="inlineStr">
        <is>
          <t>Positive</t>
        </is>
      </c>
      <c r="E45" s="4" t="inlineStr">
        <is>
          <t>P2</t>
        </is>
      </c>
      <c r="F45" s="4" t="inlineStr">
        <is>
          <t>Seeded catalogue (12 parts P01–P12 with known flags)</t>
        </is>
      </c>
      <c r="G45" s="4" t="inlineStr">
        <is>
          <t>GET</t>
        </is>
      </c>
      <c r="H45" s="4" t="inlineStr">
        <is>
          <t>/api/part/</t>
        </is>
      </c>
      <c r="I45" s="4" t="inlineStr">
        <is>
          <t>?category=Root&amp;cascade=true&amp;name_regex=^&lt;run&gt;-Seed-P0[1-3]$</t>
        </is>
      </c>
      <c r="J45" s="4" t="inlineStr">
        <is>
          <t>1. GET with filter scoped to seeded tree</t>
        </is>
      </c>
      <c r="K45" s="4" t="inlineStr">
        <is>
          <t>200; result set is exactly P01, P02, P03</t>
        </is>
      </c>
      <c r="L45" s="10" t="n"/>
      <c r="M45" s="10" t="inlineStr">
        <is>
          <t>Not Run</t>
        </is>
      </c>
      <c r="N45" s="4" t="n"/>
    </row>
    <row r="46" hidden="1" ht="26" customHeight="1">
      <c r="A46" s="4" t="inlineStr">
        <is>
          <t>API-LIST-022</t>
        </is>
      </c>
      <c r="B46" s="4" t="inlineStr">
        <is>
          <t>Filtering</t>
        </is>
      </c>
      <c r="C46" s="4" t="inlineStr">
        <is>
          <t>Filter: combined active+salable</t>
        </is>
      </c>
      <c r="D46" s="4" t="inlineStr">
        <is>
          <t>Positive</t>
        </is>
      </c>
      <c r="E46" s="4" t="inlineStr">
        <is>
          <t>P2</t>
        </is>
      </c>
      <c r="F46" s="4" t="inlineStr">
        <is>
          <t>Seeded catalogue (12 parts P01–P12 with known flags)</t>
        </is>
      </c>
      <c r="G46" s="4" t="inlineStr">
        <is>
          <t>GET</t>
        </is>
      </c>
      <c r="H46" s="4" t="inlineStr">
        <is>
          <t>/api/part/</t>
        </is>
      </c>
      <c r="I46" s="4" t="inlineStr">
        <is>
          <t>?category=Root&amp;cascade=true&amp;active=true&amp;salable=true</t>
        </is>
      </c>
      <c r="J46" s="4" t="inlineStr">
        <is>
          <t>1. GET with filter scoped to seeded tree</t>
        </is>
      </c>
      <c r="K46" s="4" t="inlineStr">
        <is>
          <t>200; result set is exactly P05</t>
        </is>
      </c>
      <c r="L46" s="10" t="n"/>
      <c r="M46" s="10" t="inlineStr">
        <is>
          <t>Not Run</t>
        </is>
      </c>
      <c r="N46" s="4" t="n"/>
    </row>
    <row r="47" hidden="1" ht="26" customHeight="1">
      <c r="A47" s="4" t="inlineStr">
        <is>
          <t>API-LIST-023</t>
        </is>
      </c>
      <c r="B47" s="4" t="inlineStr">
        <is>
          <t>Filtering</t>
        </is>
      </c>
      <c r="C47" s="4" t="inlineStr">
        <is>
          <t>Filter: filter with no match</t>
        </is>
      </c>
      <c r="D47" s="4" t="inlineStr">
        <is>
          <t>Negative</t>
        </is>
      </c>
      <c r="E47" s="4" t="inlineStr">
        <is>
          <t>P2</t>
        </is>
      </c>
      <c r="F47" s="4" t="inlineStr">
        <is>
          <t>Seeded catalogue (12 parts P01–P12 with known flags)</t>
        </is>
      </c>
      <c r="G47" s="4" t="inlineStr">
        <is>
          <t>GET</t>
        </is>
      </c>
      <c r="H47" s="4" t="inlineStr">
        <is>
          <t>/api/part/</t>
        </is>
      </c>
      <c r="I47" s="4" t="inlineStr">
        <is>
          <t>?category=Root&amp;cascade=true&amp;assembly=true&amp;virtual=true</t>
        </is>
      </c>
      <c r="J47" s="4" t="inlineStr">
        <is>
          <t>1. GET with filter scoped to seeded tree</t>
        </is>
      </c>
      <c r="K47" s="4" t="inlineStr">
        <is>
          <t>200; result set is exactly empty</t>
        </is>
      </c>
      <c r="L47" s="10" t="n"/>
      <c r="M47" s="10" t="inlineStr">
        <is>
          <t>Not Run</t>
        </is>
      </c>
      <c r="N47" s="4" t="n"/>
    </row>
    <row r="48" hidden="1" ht="26" customHeight="1">
      <c r="A48" s="4" t="inlineStr">
        <is>
          <t>API-PAGE-001</t>
        </is>
      </c>
      <c r="B48" s="4" t="inlineStr">
        <is>
          <t>Pagination</t>
        </is>
      </c>
      <c r="C48" s="4" t="inlineStr">
        <is>
          <t>Paginated envelope and schema</t>
        </is>
      </c>
      <c r="D48" s="4" t="inlineStr">
        <is>
          <t>Positive</t>
        </is>
      </c>
      <c r="E48" s="4" t="inlineStr">
        <is>
          <t>P1</t>
        </is>
      </c>
      <c r="F48" s="4" t="inlineStr">
        <is>
          <t>Seeded catalogue</t>
        </is>
      </c>
      <c r="G48" s="4" t="inlineStr">
        <is>
          <t>GET</t>
        </is>
      </c>
      <c r="H48" s="4" t="inlineStr">
        <is>
          <t>/api/part/</t>
        </is>
      </c>
      <c r="I48" s="4" t="inlineStr">
        <is>
          <t>?limit=5&amp;ordering=name</t>
        </is>
      </c>
      <c r="J48" s="4" t="inlineStr">
        <is>
          <t>1. GET</t>
        </is>
      </c>
      <c r="K48" s="4" t="inlineStr">
        <is>
          <t>200; {count:12, next contains offset=5, previous:null, results[5]} and schema-valid</t>
        </is>
      </c>
      <c r="L48" s="10" t="n"/>
      <c r="M48" s="10" t="inlineStr">
        <is>
          <t>Not Run</t>
        </is>
      </c>
      <c r="N48" s="4" t="n"/>
    </row>
    <row r="49" hidden="1" ht="26" customHeight="1">
      <c r="A49" s="4" t="inlineStr">
        <is>
          <t>API-PAGE-002</t>
        </is>
      </c>
      <c r="B49" s="4" t="inlineStr">
        <is>
          <t>Pagination</t>
        </is>
      </c>
      <c r="C49" s="4" t="inlineStr">
        <is>
          <t>limit/offset boundaries (first, middle, last-partial, limit=count, last single, offset=count, offset&gt;count)</t>
        </is>
      </c>
      <c r="D49" s="4" t="inlineStr">
        <is>
          <t>Boundary</t>
        </is>
      </c>
      <c r="E49" s="4" t="inlineStr">
        <is>
          <t>P1</t>
        </is>
      </c>
      <c r="F49" s="4" t="inlineStr">
        <is>
          <t>Seeded catalogue</t>
        </is>
      </c>
      <c r="G49" s="4" t="inlineStr">
        <is>
          <t>GET</t>
        </is>
      </c>
      <c r="H49" s="4" t="inlineStr">
        <is>
          <t>/api/part/</t>
        </is>
      </c>
      <c r="I49" s="4" t="inlineStr">
        <is>
          <t>(5,0) (5,5) (5,10) (12,0) (1,11) (5,12) (5,500)</t>
        </is>
      </c>
      <c r="J49" s="4" t="inlineStr">
        <is>
          <t>1. GET each combination</t>
        </is>
      </c>
      <c r="K49" s="4" t="inlineStr">
        <is>
          <t>count always 12; result sizes 5/5/2/12/1/0/0; next/previous presence correct</t>
        </is>
      </c>
      <c r="L49" s="10" t="n"/>
      <c r="M49" s="10" t="inlineStr">
        <is>
          <t>Not Run</t>
        </is>
      </c>
      <c r="N49" s="4" t="n"/>
    </row>
    <row r="50" hidden="1">
      <c r="A50" s="4" t="inlineStr">
        <is>
          <t>API-PAGE-003</t>
        </is>
      </c>
      <c r="B50" s="4" t="inlineStr">
        <is>
          <t>Pagination</t>
        </is>
      </c>
      <c r="C50" s="4" t="inlineStr">
        <is>
          <t>Walk 'next' links to the end</t>
        </is>
      </c>
      <c r="D50" s="4" t="inlineStr">
        <is>
          <t>Positive</t>
        </is>
      </c>
      <c r="E50" s="4" t="inlineStr">
        <is>
          <t>P2</t>
        </is>
      </c>
      <c r="F50" s="4" t="inlineStr">
        <is>
          <t>Seeded catalogue</t>
        </is>
      </c>
      <c r="G50" s="4" t="inlineStr">
        <is>
          <t>GET</t>
        </is>
      </c>
      <c r="H50" s="4" t="inlineStr">
        <is>
          <t>/api/part/</t>
        </is>
      </c>
      <c r="I50" s="4" t="inlineStr">
        <is>
          <t>limit=5</t>
        </is>
      </c>
      <c r="J50" s="4" t="inlineStr">
        <is>
          <t>1. Follow next until null</t>
        </is>
      </c>
      <c r="K50" s="4" t="inlineStr">
        <is>
          <t>3 pages; 12 unique records; no duplicates or gaps</t>
        </is>
      </c>
      <c r="L50" s="10" t="n"/>
      <c r="M50" s="10" t="inlineStr">
        <is>
          <t>Not Run</t>
        </is>
      </c>
      <c r="N50" s="4" t="n"/>
    </row>
    <row r="51" hidden="1">
      <c r="A51" s="4" t="inlineStr">
        <is>
          <t>API-PAGE-004</t>
        </is>
      </c>
      <c r="B51" s="4" t="inlineStr">
        <is>
          <t>Pagination</t>
        </is>
      </c>
      <c r="C51" s="4" t="inlineStr">
        <is>
          <t>No limit returns an unpaginated array</t>
        </is>
      </c>
      <c r="D51" s="4" t="inlineStr">
        <is>
          <t>Positive</t>
        </is>
      </c>
      <c r="E51" s="4" t="inlineStr">
        <is>
          <t>P2</t>
        </is>
      </c>
      <c r="F51" s="4" t="inlineStr">
        <is>
          <t>Seeded catalogue</t>
        </is>
      </c>
      <c r="G51" s="4" t="inlineStr">
        <is>
          <t>GET</t>
        </is>
      </c>
      <c r="H51" s="4" t="inlineStr">
        <is>
          <t>/api/part/</t>
        </is>
      </c>
      <c r="I51" s="4" t="inlineStr">
        <is>
          <t>(no limit)</t>
        </is>
      </c>
      <c r="J51" s="4" t="inlineStr">
        <is>
          <t>1. GET</t>
        </is>
      </c>
      <c r="K51" s="4" t="inlineStr">
        <is>
          <t>Body is a JSON array of 12</t>
        </is>
      </c>
      <c r="L51" s="10" t="n"/>
      <c r="M51" s="10" t="inlineStr">
        <is>
          <t>Not Run</t>
        </is>
      </c>
      <c r="N51" s="4" t="n"/>
    </row>
    <row r="52" hidden="1">
      <c r="A52" s="4" t="inlineStr">
        <is>
          <t>API-PAGE-005</t>
        </is>
      </c>
      <c r="B52" s="4" t="inlineStr">
        <is>
          <t>Pagination</t>
        </is>
      </c>
      <c r="C52" s="4" t="inlineStr">
        <is>
          <t>Malformed limit/offset (non-numeric, negative)</t>
        </is>
      </c>
      <c r="D52" s="4" t="inlineStr">
        <is>
          <t>Boundary</t>
        </is>
      </c>
      <c r="E52" s="4" t="inlineStr">
        <is>
          <t>P3</t>
        </is>
      </c>
      <c r="F52" s="4" t="inlineStr">
        <is>
          <t>Seeded catalogue</t>
        </is>
      </c>
      <c r="G52" s="4" t="inlineStr">
        <is>
          <t>GET</t>
        </is>
      </c>
      <c r="H52" s="4" t="inlineStr">
        <is>
          <t>/api/part/</t>
        </is>
      </c>
      <c r="I52" s="4" t="inlineStr">
        <is>
          <t>limit=abc | offset=abc | limit=-1 | offset=-3</t>
        </is>
      </c>
      <c r="J52" s="4" t="inlineStr">
        <is>
          <t>1. GET</t>
        </is>
      </c>
      <c r="K52" s="4" t="inlineStr">
        <is>
          <t>200 with graceful fallback; no 5xx</t>
        </is>
      </c>
      <c r="L52" s="10" t="n"/>
      <c r="M52" s="10" t="inlineStr">
        <is>
          <t>Not Run</t>
        </is>
      </c>
      <c r="N52" s="4" t="n"/>
    </row>
    <row r="53" hidden="1">
      <c r="A53" s="4" t="inlineStr">
        <is>
          <t>API-SORT-001</t>
        </is>
      </c>
      <c r="B53" s="4" t="inlineStr">
        <is>
          <t>Ordering</t>
        </is>
      </c>
      <c r="C53" s="4" t="inlineStr">
        <is>
          <t>ordering=name / -name</t>
        </is>
      </c>
      <c r="D53" s="4" t="inlineStr">
        <is>
          <t>Positive</t>
        </is>
      </c>
      <c r="E53" s="4" t="inlineStr">
        <is>
          <t>P2</t>
        </is>
      </c>
      <c r="F53" s="4" t="inlineStr">
        <is>
          <t>Seeded catalogue</t>
        </is>
      </c>
      <c r="G53" s="4" t="inlineStr">
        <is>
          <t>GET</t>
        </is>
      </c>
      <c r="H53" s="4" t="inlineStr">
        <is>
          <t>/api/part/</t>
        </is>
      </c>
      <c r="I53" s="4" t="inlineStr">
        <is>
          <t>?ordering=name | -name</t>
        </is>
      </c>
      <c r="J53" s="4" t="inlineStr">
        <is>
          <t>1. GET</t>
        </is>
      </c>
      <c r="K53" s="4" t="inlineStr">
        <is>
          <t>Names sorted asc / desc</t>
        </is>
      </c>
      <c r="L53" s="10" t="n"/>
      <c r="M53" s="10" t="inlineStr">
        <is>
          <t>Not Run</t>
        </is>
      </c>
      <c r="N53" s="4" t="n"/>
    </row>
    <row r="54" hidden="1">
      <c r="A54" s="4" t="inlineStr">
        <is>
          <t>API-SORT-002</t>
        </is>
      </c>
      <c r="B54" s="4" t="inlineStr">
        <is>
          <t>Ordering</t>
        </is>
      </c>
      <c r="C54" s="4" t="inlineStr">
        <is>
          <t>ordering=-IPN</t>
        </is>
      </c>
      <c r="D54" s="4" t="inlineStr">
        <is>
          <t>Positive</t>
        </is>
      </c>
      <c r="E54" s="4" t="inlineStr">
        <is>
          <t>P3</t>
        </is>
      </c>
      <c r="F54" s="4" t="inlineStr">
        <is>
          <t>Seeded catalogue</t>
        </is>
      </c>
      <c r="G54" s="4" t="inlineStr">
        <is>
          <t>GET</t>
        </is>
      </c>
      <c r="H54" s="4" t="inlineStr">
        <is>
          <t>/api/part/</t>
        </is>
      </c>
      <c r="I54" s="4" t="inlineStr">
        <is>
          <t>?ordering=-IPN&amp;has_ipn=true</t>
        </is>
      </c>
      <c r="J54" s="4" t="inlineStr">
        <is>
          <t>1. GET</t>
        </is>
      </c>
      <c r="K54" s="4" t="inlineStr">
        <is>
          <t>IPNs sorted descending</t>
        </is>
      </c>
      <c r="L54" s="10" t="n"/>
      <c r="M54" s="10" t="inlineStr">
        <is>
          <t>Not Run</t>
        </is>
      </c>
      <c r="N54" s="4" t="n"/>
    </row>
    <row r="55" hidden="1" ht="26" customHeight="1">
      <c r="A55" s="4" t="inlineStr">
        <is>
          <t>API-SRCH-001</t>
        </is>
      </c>
      <c r="B55" s="4" t="inlineStr">
        <is>
          <t>Search</t>
        </is>
      </c>
      <c r="C55" s="4" t="inlineStr">
        <is>
          <t>Search matches name, IPN, description, keywords; case-insensitive</t>
        </is>
      </c>
      <c r="D55" s="4" t="inlineStr">
        <is>
          <t>Positive</t>
        </is>
      </c>
      <c r="E55" s="4" t="inlineStr">
        <is>
          <t>P1</t>
        </is>
      </c>
      <c r="F55" s="4" t="inlineStr">
        <is>
          <t>Seeded catalogue</t>
        </is>
      </c>
      <c r="G55" s="4" t="inlineStr">
        <is>
          <t>GET</t>
        </is>
      </c>
      <c r="H55" s="4" t="inlineStr">
        <is>
          <t>/api/part/</t>
        </is>
      </c>
      <c r="I55" s="4" t="inlineStr">
        <is>
          <t>?search=&lt;term&gt;</t>
        </is>
      </c>
      <c r="J55" s="4" t="inlineStr">
        <is>
          <t>1. GET for each field-specific term</t>
        </is>
      </c>
      <c r="K55" s="4" t="inlineStr">
        <is>
          <t>Exactly the expected part for each term</t>
        </is>
      </c>
      <c r="L55" s="10" t="n"/>
      <c r="M55" s="10" t="inlineStr">
        <is>
          <t>Not Run</t>
        </is>
      </c>
      <c r="N55" s="4" t="n"/>
    </row>
    <row r="56" hidden="1">
      <c r="A56" s="4" t="inlineStr">
        <is>
          <t>API-SRCH-002</t>
        </is>
      </c>
      <c r="B56" s="4" t="inlineStr">
        <is>
          <t>Search</t>
        </is>
      </c>
      <c r="C56" s="4" t="inlineStr">
        <is>
          <t>Search by category name</t>
        </is>
      </c>
      <c r="D56" s="4" t="inlineStr">
        <is>
          <t>Positive</t>
        </is>
      </c>
      <c r="E56" s="4" t="inlineStr">
        <is>
          <t>P2</t>
        </is>
      </c>
      <c r="F56" s="4" t="inlineStr">
        <is>
          <t>Seeded catalogue</t>
        </is>
      </c>
      <c r="G56" s="4" t="inlineStr">
        <is>
          <t>GET</t>
        </is>
      </c>
      <c r="H56" s="4" t="inlineStr">
        <is>
          <t>/api/part/</t>
        </is>
      </c>
      <c r="I56" s="4" t="inlineStr">
        <is>
          <t>?search=&lt;child category name&gt;</t>
        </is>
      </c>
      <c r="J56" s="4" t="inlineStr">
        <is>
          <t>1. GET</t>
        </is>
      </c>
      <c r="K56" s="4" t="inlineStr">
        <is>
          <t>P03, P04</t>
        </is>
      </c>
      <c r="L56" s="10" t="n"/>
      <c r="M56" s="10" t="inlineStr">
        <is>
          <t>Not Run</t>
        </is>
      </c>
      <c r="N56" s="4" t="n"/>
    </row>
    <row r="57" hidden="1">
      <c r="A57" s="4" t="inlineStr">
        <is>
          <t>API-SRCH-003</t>
        </is>
      </c>
      <c r="B57" s="4" t="inlineStr">
        <is>
          <t>Search</t>
        </is>
      </c>
      <c r="C57" s="4" t="inlineStr">
        <is>
          <t>Search + filter + pagination combined</t>
        </is>
      </c>
      <c r="D57" s="4" t="inlineStr">
        <is>
          <t>Positive</t>
        </is>
      </c>
      <c r="E57" s="4" t="inlineStr">
        <is>
          <t>P2</t>
        </is>
      </c>
      <c r="F57" s="4" t="inlineStr">
        <is>
          <t>Seeded catalogue</t>
        </is>
      </c>
      <c r="G57" s="4" t="inlineStr">
        <is>
          <t>GET</t>
        </is>
      </c>
      <c r="H57" s="4" t="inlineStr">
        <is>
          <t>/api/part/</t>
        </is>
      </c>
      <c r="I57" s="4" t="inlineStr">
        <is>
          <t>?search=&lt;run&gt;-Seed&amp;active=true&amp;limit=3</t>
        </is>
      </c>
      <c r="J57" s="4" t="inlineStr">
        <is>
          <t>1. GET</t>
        </is>
      </c>
      <c r="K57" s="4" t="inlineStr">
        <is>
          <t>count=11 (P03 inactive); 3 results</t>
        </is>
      </c>
      <c r="L57" s="10" t="n"/>
      <c r="M57" s="10" t="inlineStr">
        <is>
          <t>Not Run</t>
        </is>
      </c>
      <c r="N57" s="4" t="n"/>
    </row>
    <row r="58" hidden="1" ht="26" customHeight="1">
      <c r="A58" s="4" t="inlineStr">
        <is>
          <t>API-SRCH-004</t>
        </is>
      </c>
      <c r="B58" s="4" t="inlineStr">
        <is>
          <t>Search</t>
        </is>
      </c>
      <c r="C58" s="4" t="inlineStr">
        <is>
          <t>No-match and hostile search strings (SQL, script, Unicode)</t>
        </is>
      </c>
      <c r="D58" s="4" t="inlineStr">
        <is>
          <t>Negative</t>
        </is>
      </c>
      <c r="E58" s="4" t="inlineStr">
        <is>
          <t>P2</t>
        </is>
      </c>
      <c r="F58" s="4" t="inlineStr">
        <is>
          <t>Seeded catalogue</t>
        </is>
      </c>
      <c r="G58" s="4" t="inlineStr">
        <is>
          <t>GET</t>
        </is>
      </c>
      <c r="H58" s="4" t="inlineStr">
        <is>
          <t>/api/part/</t>
        </is>
      </c>
      <c r="I58" s="4" t="inlineStr">
        <is>
          <t>search="'; DROP TABLE…" etc.</t>
        </is>
      </c>
      <c r="J58" s="4" t="inlineStr">
        <is>
          <t>1. GET</t>
        </is>
      </c>
      <c r="K58" s="4" t="inlineStr">
        <is>
          <t>200 with empty results; no 5xx; data intact</t>
        </is>
      </c>
      <c r="L58" s="10" t="n"/>
      <c r="M58" s="10" t="inlineStr">
        <is>
          <t>Not Run</t>
        </is>
      </c>
      <c r="N58" s="4" t="n"/>
    </row>
    <row r="59" hidden="1" ht="39" customHeight="1">
      <c r="A59" s="4" t="inlineStr">
        <is>
          <t>API-VAL-001</t>
        </is>
      </c>
      <c r="B59" s="4" t="inlineStr">
        <is>
          <t>Field Validation</t>
        </is>
      </c>
      <c r="C59" s="4" t="inlineStr">
        <is>
          <t>Part: name missing</t>
        </is>
      </c>
      <c r="D59" s="4" t="inlineStr">
        <is>
          <t>Negative</t>
        </is>
      </c>
      <c r="E59" s="4" t="inlineStr">
        <is>
          <t>P1</t>
        </is>
      </c>
      <c r="F59" s="4" t="inlineStr">
        <is>
          <t>Valid admin API token</t>
        </is>
      </c>
      <c r="G59" s="4" t="inlineStr">
        <is>
          <t>POST</t>
        </is>
      </c>
      <c r="H59" s="4" t="inlineStr">
        <is>
          <t>/api/part/</t>
        </is>
      </c>
      <c r="I59" s="4" t="inlineStr">
        <is>
          <t>name omitted</t>
        </is>
      </c>
      <c r="J59" s="4" t="inlineStr">
        <is>
          <t>1. Build valid base payload
2. Apply override
3. POST</t>
        </is>
      </c>
      <c r="K59" s="4" t="inlineStr">
        <is>
          <t>400 Bad Request; error keyed on 'name'; nothing persisted</t>
        </is>
      </c>
      <c r="L59" s="10" t="n"/>
      <c r="M59" s="10" t="inlineStr">
        <is>
          <t>Not Run</t>
        </is>
      </c>
      <c r="N59" s="4" t="n"/>
    </row>
    <row r="60" hidden="1" ht="39" customHeight="1">
      <c r="A60" s="4" t="inlineStr">
        <is>
          <t>API-VAL-004</t>
        </is>
      </c>
      <c r="B60" s="4" t="inlineStr">
        <is>
          <t>Field Validation</t>
        </is>
      </c>
      <c r="C60" s="4" t="inlineStr">
        <is>
          <t>Part: name 100 chars (max)</t>
        </is>
      </c>
      <c r="D60" s="4" t="inlineStr">
        <is>
          <t>Boundary</t>
        </is>
      </c>
      <c r="E60" s="4" t="inlineStr">
        <is>
          <t>P1</t>
        </is>
      </c>
      <c r="F60" s="4" t="inlineStr">
        <is>
          <t>Valid admin API token</t>
        </is>
      </c>
      <c r="G60" s="4" t="inlineStr">
        <is>
          <t>POST</t>
        </is>
      </c>
      <c r="H60" s="4" t="inlineStr">
        <is>
          <t>/api/part/</t>
        </is>
      </c>
      <c r="I60" s="4" t="inlineStr">
        <is>
          <t>name=&lt;100-char string&gt;</t>
        </is>
      </c>
      <c r="J60" s="4" t="inlineStr">
        <is>
          <t>1. Build valid base payload
2. Apply override
3. POST</t>
        </is>
      </c>
      <c r="K60" s="4" t="inlineStr">
        <is>
          <t>201 Created; schema-valid</t>
        </is>
      </c>
      <c r="L60" s="10" t="n"/>
      <c r="M60" s="10" t="inlineStr">
        <is>
          <t>Not Run</t>
        </is>
      </c>
      <c r="N60" s="4" t="n"/>
    </row>
    <row r="61" hidden="1" ht="39" customHeight="1">
      <c r="A61" s="4" t="inlineStr">
        <is>
          <t>API-VAL-005</t>
        </is>
      </c>
      <c r="B61" s="4" t="inlineStr">
        <is>
          <t>Field Validation</t>
        </is>
      </c>
      <c r="C61" s="4" t="inlineStr">
        <is>
          <t>Part: name 101 chars (max+1)</t>
        </is>
      </c>
      <c r="D61" s="4" t="inlineStr">
        <is>
          <t>Boundary</t>
        </is>
      </c>
      <c r="E61" s="4" t="inlineStr">
        <is>
          <t>P1</t>
        </is>
      </c>
      <c r="F61" s="4" t="inlineStr">
        <is>
          <t>Valid admin API token</t>
        </is>
      </c>
      <c r="G61" s="4" t="inlineStr">
        <is>
          <t>POST</t>
        </is>
      </c>
      <c r="H61" s="4" t="inlineStr">
        <is>
          <t>/api/part/</t>
        </is>
      </c>
      <c r="I61" s="4" t="inlineStr">
        <is>
          <t>name=&lt;101-char string&gt;</t>
        </is>
      </c>
      <c r="J61" s="4" t="inlineStr">
        <is>
          <t>1. Build valid base payload
2. Apply override
3. POST</t>
        </is>
      </c>
      <c r="K61" s="4" t="inlineStr">
        <is>
          <t>400 Bad Request; error keyed on 'name'; nothing persisted</t>
        </is>
      </c>
      <c r="L61" s="10" t="n"/>
      <c r="M61" s="10" t="inlineStr">
        <is>
          <t>Not Run</t>
        </is>
      </c>
      <c r="N61" s="4" t="n"/>
    </row>
    <row r="62" hidden="1" ht="39" customHeight="1">
      <c r="A62" s="4" t="inlineStr">
        <is>
          <t>API-VAL-007</t>
        </is>
      </c>
      <c r="B62" s="4" t="inlineStr">
        <is>
          <t>Field Validation</t>
        </is>
      </c>
      <c r="C62" s="4" t="inlineStr">
        <is>
          <t>Part: description 251 (max+1)</t>
        </is>
      </c>
      <c r="D62" s="4" t="inlineStr">
        <is>
          <t>Boundary</t>
        </is>
      </c>
      <c r="E62" s="4" t="inlineStr">
        <is>
          <t>P2</t>
        </is>
      </c>
      <c r="F62" s="4" t="inlineStr">
        <is>
          <t>Valid admin API token</t>
        </is>
      </c>
      <c r="G62" s="4" t="inlineStr">
        <is>
          <t>POST</t>
        </is>
      </c>
      <c r="H62" s="4" t="inlineStr">
        <is>
          <t>/api/part/</t>
        </is>
      </c>
      <c r="I62" s="4" t="inlineStr">
        <is>
          <t>description=&lt;251-char string&gt;</t>
        </is>
      </c>
      <c r="J62" s="4" t="inlineStr">
        <is>
          <t>1. Build valid base payload
2. Apply override
3. POST</t>
        </is>
      </c>
      <c r="K62" s="4" t="inlineStr">
        <is>
          <t>400 Bad Request; error keyed on 'description'; nothing persisted</t>
        </is>
      </c>
      <c r="L62" s="10" t="n"/>
      <c r="M62" s="10" t="inlineStr">
        <is>
          <t>Not Run</t>
        </is>
      </c>
      <c r="N62" s="4" t="n"/>
    </row>
    <row r="63" hidden="1" ht="39" customHeight="1">
      <c r="A63" s="4" t="inlineStr">
        <is>
          <t>API-VAL-009</t>
        </is>
      </c>
      <c r="B63" s="4" t="inlineStr">
        <is>
          <t>Field Validation</t>
        </is>
      </c>
      <c r="C63" s="4" t="inlineStr">
        <is>
          <t>Part: IPN 101 (max+1)</t>
        </is>
      </c>
      <c r="D63" s="4" t="inlineStr">
        <is>
          <t>Boundary</t>
        </is>
      </c>
      <c r="E63" s="4" t="inlineStr">
        <is>
          <t>P2</t>
        </is>
      </c>
      <c r="F63" s="4" t="inlineStr">
        <is>
          <t>Valid admin API token</t>
        </is>
      </c>
      <c r="G63" s="4" t="inlineStr">
        <is>
          <t>POST</t>
        </is>
      </c>
      <c r="H63" s="4" t="inlineStr">
        <is>
          <t>/api/part/</t>
        </is>
      </c>
      <c r="I63" s="4" t="inlineStr">
        <is>
          <t>IPN=&lt;101-char string&gt;</t>
        </is>
      </c>
      <c r="J63" s="4" t="inlineStr">
        <is>
          <t>1. Build valid base payload
2. Apply override
3. POST</t>
        </is>
      </c>
      <c r="K63" s="4" t="inlineStr">
        <is>
          <t>400 Bad Request; error keyed on 'IPN'; nothing persisted</t>
        </is>
      </c>
      <c r="L63" s="10" t="n"/>
      <c r="M63" s="10" t="inlineStr">
        <is>
          <t>Not Run</t>
        </is>
      </c>
      <c r="N63" s="4" t="n"/>
    </row>
    <row r="64" hidden="1" ht="39" customHeight="1">
      <c r="A64" s="4" t="inlineStr">
        <is>
          <t>API-VAL-016</t>
        </is>
      </c>
      <c r="B64" s="4" t="inlineStr">
        <is>
          <t>Field Validation</t>
        </is>
      </c>
      <c r="C64" s="4" t="inlineStr">
        <is>
          <t>Part: units not a physical unit</t>
        </is>
      </c>
      <c r="D64" s="4" t="inlineStr">
        <is>
          <t>Negative</t>
        </is>
      </c>
      <c r="E64" s="4" t="inlineStr">
        <is>
          <t>P2</t>
        </is>
      </c>
      <c r="F64" s="4" t="inlineStr">
        <is>
          <t>Valid admin API token</t>
        </is>
      </c>
      <c r="G64" s="4" t="inlineStr">
        <is>
          <t>POST</t>
        </is>
      </c>
      <c r="H64" s="4" t="inlineStr">
        <is>
          <t>/api/part/</t>
        </is>
      </c>
      <c r="I64" s="4" t="inlineStr">
        <is>
          <t>units="furlongsz"</t>
        </is>
      </c>
      <c r="J64" s="4" t="inlineStr">
        <is>
          <t>1. Build valid base payload
2. Apply override
3. POST</t>
        </is>
      </c>
      <c r="K64" s="4" t="inlineStr">
        <is>
          <t>400 Bad Request; error keyed on 'units'; nothing persisted</t>
        </is>
      </c>
      <c r="L64" s="10" t="n"/>
      <c r="M64" s="10" t="inlineStr">
        <is>
          <t>Not Run</t>
        </is>
      </c>
      <c r="N64" s="4" t="n"/>
    </row>
    <row r="65" hidden="1" ht="39" customHeight="1">
      <c r="A65" s="4" t="inlineStr">
        <is>
          <t>API-VAL-018</t>
        </is>
      </c>
      <c r="B65" s="4" t="inlineStr">
        <is>
          <t>Field Validation</t>
        </is>
      </c>
      <c r="C65" s="4" t="inlineStr">
        <is>
          <t>Part: link not a URL</t>
        </is>
      </c>
      <c r="D65" s="4" t="inlineStr">
        <is>
          <t>Negative</t>
        </is>
      </c>
      <c r="E65" s="4" t="inlineStr">
        <is>
          <t>P2</t>
        </is>
      </c>
      <c r="F65" s="4" t="inlineStr">
        <is>
          <t>Valid admin API token</t>
        </is>
      </c>
      <c r="G65" s="4" t="inlineStr">
        <is>
          <t>POST</t>
        </is>
      </c>
      <c r="H65" s="4" t="inlineStr">
        <is>
          <t>/api/part/</t>
        </is>
      </c>
      <c r="I65" s="4" t="inlineStr">
        <is>
          <t>link="not a url"</t>
        </is>
      </c>
      <c r="J65" s="4" t="inlineStr">
        <is>
          <t>1. Build valid base payload
2. Apply override
3. POST</t>
        </is>
      </c>
      <c r="K65" s="4" t="inlineStr">
        <is>
          <t>400 Bad Request; error keyed on 'link'; nothing persisted</t>
        </is>
      </c>
      <c r="L65" s="10" t="n"/>
      <c r="M65" s="10" t="inlineStr">
        <is>
          <t>Not Run</t>
        </is>
      </c>
      <c r="N65" s="4" t="n"/>
    </row>
    <row r="66" hidden="1" ht="39" customHeight="1">
      <c r="A66" s="4" t="inlineStr">
        <is>
          <t>API-VAL-020</t>
        </is>
      </c>
      <c r="B66" s="4" t="inlineStr">
        <is>
          <t>Field Validation</t>
        </is>
      </c>
      <c r="C66" s="4" t="inlineStr">
        <is>
          <t>Part: default_expiry -1 (min-1)</t>
        </is>
      </c>
      <c r="D66" s="4" t="inlineStr">
        <is>
          <t>Boundary</t>
        </is>
      </c>
      <c r="E66" s="4" t="inlineStr">
        <is>
          <t>P2</t>
        </is>
      </c>
      <c r="F66" s="4" t="inlineStr">
        <is>
          <t>Valid admin API token</t>
        </is>
      </c>
      <c r="G66" s="4" t="inlineStr">
        <is>
          <t>POST</t>
        </is>
      </c>
      <c r="H66" s="4" t="inlineStr">
        <is>
          <t>/api/part/</t>
        </is>
      </c>
      <c r="I66" s="4" t="inlineStr">
        <is>
          <t>default_expiry=-1</t>
        </is>
      </c>
      <c r="J66" s="4" t="inlineStr">
        <is>
          <t>1. Build valid base payload
2. Apply override
3. POST</t>
        </is>
      </c>
      <c r="K66" s="4" t="inlineStr">
        <is>
          <t>400 Bad Request; error keyed on 'default_expiry'; nothing persisted</t>
        </is>
      </c>
      <c r="L66" s="10" t="n"/>
      <c r="M66" s="10" t="inlineStr">
        <is>
          <t>Not Run</t>
        </is>
      </c>
      <c r="N66" s="4" t="n"/>
    </row>
    <row r="67" hidden="1" ht="39" customHeight="1">
      <c r="A67" s="4" t="inlineStr">
        <is>
          <t>API-VAL-024</t>
        </is>
      </c>
      <c r="B67" s="4" t="inlineStr">
        <is>
          <t>Field Validation</t>
        </is>
      </c>
      <c r="C67" s="4" t="inlineStr">
        <is>
          <t>Part: category non-existent</t>
        </is>
      </c>
      <c r="D67" s="4" t="inlineStr">
        <is>
          <t>Negative</t>
        </is>
      </c>
      <c r="E67" s="4" t="inlineStr">
        <is>
          <t>P1</t>
        </is>
      </c>
      <c r="F67" s="4" t="inlineStr">
        <is>
          <t>Valid admin API token</t>
        </is>
      </c>
      <c r="G67" s="4" t="inlineStr">
        <is>
          <t>POST</t>
        </is>
      </c>
      <c r="H67" s="4" t="inlineStr">
        <is>
          <t>/api/part/</t>
        </is>
      </c>
      <c r="I67" s="4" t="inlineStr">
        <is>
          <t>category=999999999</t>
        </is>
      </c>
      <c r="J67" s="4" t="inlineStr">
        <is>
          <t>1. Build valid base payload
2. Apply override
3. POST</t>
        </is>
      </c>
      <c r="K67" s="4" t="inlineStr">
        <is>
          <t>400 Bad Request; error keyed on 'category'; nothing persisted</t>
        </is>
      </c>
      <c r="L67" s="10" t="n"/>
      <c r="M67" s="10" t="inlineStr">
        <is>
          <t>Not Run</t>
        </is>
      </c>
      <c r="N67" s="4" t="n"/>
    </row>
    <row r="68" hidden="1" ht="39" customHeight="1">
      <c r="A68" s="4" t="inlineStr">
        <is>
          <t>API-VAL-026</t>
        </is>
      </c>
      <c r="B68" s="4" t="inlineStr">
        <is>
          <t>Field Validation</t>
        </is>
      </c>
      <c r="C68" s="4" t="inlineStr">
        <is>
          <t>Nullable fields accept null (category, keywords, units, link)</t>
        </is>
      </c>
      <c r="D68" s="4" t="inlineStr">
        <is>
          <t>Positive</t>
        </is>
      </c>
      <c r="E68" s="4" t="inlineStr">
        <is>
          <t>P2</t>
        </is>
      </c>
      <c r="F68" s="4" t="inlineStr">
        <is>
          <t>Valid admin API token</t>
        </is>
      </c>
      <c r="G68" s="4" t="inlineStr">
        <is>
          <t>POST</t>
        </is>
      </c>
      <c r="H68" s="4" t="inlineStr">
        <is>
          <t>/api/part/</t>
        </is>
      </c>
      <c r="I68" s="4" t="inlineStr">
        <is>
          <t>category=null, keywords=null, units=null, link=null</t>
        </is>
      </c>
      <c r="J68" s="4" t="inlineStr">
        <is>
          <t>1. POST with each nullable field set to null
2. GET</t>
        </is>
      </c>
      <c r="K68" s="4" t="inlineStr">
        <is>
          <t>201 Created; fields stored as null / blank</t>
        </is>
      </c>
      <c r="L68" s="10" t="n"/>
      <c r="M68" s="10" t="inlineStr">
        <is>
          <t>Not Run</t>
        </is>
      </c>
      <c r="N68" s="4" t="n"/>
    </row>
    <row r="69" hidden="1" ht="26" customHeight="1">
      <c r="A69" s="4" t="inlineStr">
        <is>
          <t>API-VAL-040</t>
        </is>
      </c>
      <c r="B69" s="4" t="inlineStr">
        <is>
          <t>Field Validation</t>
        </is>
      </c>
      <c r="C69" s="4" t="inlineStr">
        <is>
          <t>PATCH enforces create-time rules (name 101, description 251, IPN 101, default_expiry -5)</t>
        </is>
      </c>
      <c r="D69" s="4" t="inlineStr">
        <is>
          <t>Negative</t>
        </is>
      </c>
      <c r="E69" s="4" t="inlineStr">
        <is>
          <t>P1</t>
        </is>
      </c>
      <c r="F69" s="4" t="inlineStr">
        <is>
          <t>Valid admin API token; part exists</t>
        </is>
      </c>
      <c r="G69" s="4" t="inlineStr">
        <is>
          <t>PATCH</t>
        </is>
      </c>
      <c r="H69" s="4" t="inlineStr">
        <is>
          <t>/api/part/{id}/</t>
        </is>
      </c>
      <c r="I69" s="4" t="inlineStr">
        <is>
          <t>oversized / out-of-range values</t>
        </is>
      </c>
      <c r="J69" s="4" t="inlineStr">
        <is>
          <t>1. PATCH invalid value
2. GET</t>
        </is>
      </c>
      <c r="K69" s="4" t="inlineStr">
        <is>
          <t>400 on the field; stored value unchanged</t>
        </is>
      </c>
      <c r="L69" s="10" t="n"/>
      <c r="M69" s="10" t="inlineStr">
        <is>
          <t>Not Run</t>
        </is>
      </c>
      <c r="N69" s="4" t="n"/>
    </row>
    <row r="70" hidden="1" ht="26" customHeight="1">
      <c r="A70" s="4" t="inlineStr">
        <is>
          <t>API-VAL-053</t>
        </is>
      </c>
      <c r="B70" s="4" t="inlineStr">
        <is>
          <t>Field Validation</t>
        </is>
      </c>
      <c r="C70" s="4" t="inlineStr">
        <is>
          <t>HTML markup rejected in name/description/keywords</t>
        </is>
      </c>
      <c r="D70" s="4" t="inlineStr">
        <is>
          <t>Negative</t>
        </is>
      </c>
      <c r="E70" s="4" t="inlineStr">
        <is>
          <t>P1</t>
        </is>
      </c>
      <c r="F70" s="4" t="inlineStr">
        <is>
          <t>Valid admin API token</t>
        </is>
      </c>
      <c r="G70" s="4" t="inlineStr">
        <is>
          <t>POST</t>
        </is>
      </c>
      <c r="H70" s="4" t="inlineStr">
        <is>
          <t>/api/part/</t>
        </is>
      </c>
      <c r="I70" s="4" t="inlineStr">
        <is>
          <t>&lt;b&gt;, &lt;script&gt;, &lt;img onerror&gt;</t>
        </is>
      </c>
      <c r="J70" s="4" t="inlineStr">
        <is>
          <t>1. POST each markup in each field</t>
        </is>
      </c>
      <c r="K70" s="4" t="inlineStr">
        <is>
          <t>400 on the field ('Remove HTML tags from this value')</t>
        </is>
      </c>
      <c r="L70" s="10" t="n"/>
      <c r="M70" s="10" t="inlineStr">
        <is>
          <t>Not Run</t>
        </is>
      </c>
      <c r="N70" s="4" t="n"/>
    </row>
    <row r="71" hidden="1" ht="39" customHeight="1">
      <c r="A71" s="4" t="inlineStr">
        <is>
          <t>API-CVAL-001</t>
        </is>
      </c>
      <c r="B71" s="4" t="inlineStr">
        <is>
          <t>Field Validation</t>
        </is>
      </c>
      <c r="C71" s="4" t="inlineStr">
        <is>
          <t>Category: name missing</t>
        </is>
      </c>
      <c r="D71" s="4" t="inlineStr">
        <is>
          <t>Negative</t>
        </is>
      </c>
      <c r="E71" s="4" t="inlineStr">
        <is>
          <t>P2</t>
        </is>
      </c>
      <c r="F71" s="4" t="inlineStr">
        <is>
          <t>Valid admin API token</t>
        </is>
      </c>
      <c r="G71" s="4" t="inlineStr">
        <is>
          <t>POST</t>
        </is>
      </c>
      <c r="H71" s="4" t="inlineStr">
        <is>
          <t>/api/part/category/</t>
        </is>
      </c>
      <c r="I71" s="4" t="inlineStr">
        <is>
          <t>name omitted</t>
        </is>
      </c>
      <c r="J71" s="4" t="inlineStr">
        <is>
          <t>1. Build valid base payload
2. Apply override
3. POST</t>
        </is>
      </c>
      <c r="K71" s="4" t="inlineStr">
        <is>
          <t>400 Bad Request; error keyed on 'name'</t>
        </is>
      </c>
      <c r="L71" s="10" t="n"/>
      <c r="M71" s="10" t="inlineStr">
        <is>
          <t>Not Run</t>
        </is>
      </c>
      <c r="N71" s="4" t="n"/>
    </row>
    <row r="72" hidden="1" ht="39" customHeight="1">
      <c r="A72" s="4" t="inlineStr">
        <is>
          <t>API-CVAL-004</t>
        </is>
      </c>
      <c r="B72" s="4" t="inlineStr">
        <is>
          <t>Field Validation</t>
        </is>
      </c>
      <c r="C72" s="4" t="inlineStr">
        <is>
          <t>Category: name 101 chars (max+1)</t>
        </is>
      </c>
      <c r="D72" s="4" t="inlineStr">
        <is>
          <t>Boundary</t>
        </is>
      </c>
      <c r="E72" s="4" t="inlineStr">
        <is>
          <t>P2</t>
        </is>
      </c>
      <c r="F72" s="4" t="inlineStr">
        <is>
          <t>Valid admin API token</t>
        </is>
      </c>
      <c r="G72" s="4" t="inlineStr">
        <is>
          <t>POST</t>
        </is>
      </c>
      <c r="H72" s="4" t="inlineStr">
        <is>
          <t>/api/part/category/</t>
        </is>
      </c>
      <c r="I72" s="4" t="inlineStr">
        <is>
          <t>name=&lt;101-char string&gt;</t>
        </is>
      </c>
      <c r="J72" s="4" t="inlineStr">
        <is>
          <t>1. Build valid base payload
2. Apply override
3. POST</t>
        </is>
      </c>
      <c r="K72" s="4" t="inlineStr">
        <is>
          <t>400 Bad Request; error keyed on 'name'</t>
        </is>
      </c>
      <c r="L72" s="10" t="n"/>
      <c r="M72" s="10" t="inlineStr">
        <is>
          <t>Not Run</t>
        </is>
      </c>
      <c r="N72" s="4" t="n"/>
    </row>
    <row r="73" hidden="1" ht="39" customHeight="1">
      <c r="A73" s="4" t="inlineStr">
        <is>
          <t>API-CVAL-007</t>
        </is>
      </c>
      <c r="B73" s="4" t="inlineStr">
        <is>
          <t>Field Validation</t>
        </is>
      </c>
      <c r="C73" s="4" t="inlineStr">
        <is>
          <t>Category: parent non-existent</t>
        </is>
      </c>
      <c r="D73" s="4" t="inlineStr">
        <is>
          <t>Negative</t>
        </is>
      </c>
      <c r="E73" s="4" t="inlineStr">
        <is>
          <t>P2</t>
        </is>
      </c>
      <c r="F73" s="4" t="inlineStr">
        <is>
          <t>Valid admin API token</t>
        </is>
      </c>
      <c r="G73" s="4" t="inlineStr">
        <is>
          <t>POST</t>
        </is>
      </c>
      <c r="H73" s="4" t="inlineStr">
        <is>
          <t>/api/part/category/</t>
        </is>
      </c>
      <c r="I73" s="4" t="inlineStr">
        <is>
          <t>parent=999999999</t>
        </is>
      </c>
      <c r="J73" s="4" t="inlineStr">
        <is>
          <t>1. Build valid base payload
2. Apply override
3. POST</t>
        </is>
      </c>
      <c r="K73" s="4" t="inlineStr">
        <is>
          <t>400 Bad Request; error keyed on 'parent'</t>
        </is>
      </c>
      <c r="L73" s="10" t="n"/>
      <c r="M73" s="10" t="inlineStr">
        <is>
          <t>Not Run</t>
        </is>
      </c>
      <c r="N73" s="4" t="n"/>
    </row>
    <row r="74" ht="78" customHeight="1">
      <c r="A74" s="4" t="inlineStr">
        <is>
          <t>API-RO-001</t>
        </is>
      </c>
      <c r="B74" s="4" t="inlineStr">
        <is>
          <t>Read-only Fields</t>
        </is>
      </c>
      <c r="C74" s="4" t="inlineStr">
        <is>
          <t>Server-derived Part fields cannot be set by the client (create and update)</t>
        </is>
      </c>
      <c r="D74" s="4" t="inlineStr">
        <is>
          <t>Negative</t>
        </is>
      </c>
      <c r="E74" s="4" t="inlineStr">
        <is>
          <t>P1</t>
        </is>
      </c>
      <c r="F74" s="4" t="inlineStr">
        <is>
          <t>Valid admin API token</t>
        </is>
      </c>
      <c r="G74" s="4" t="inlineStr">
        <is>
          <t>POST / PATCH</t>
        </is>
      </c>
      <c r="H74" s="4" t="inlineStr">
        <is>
          <t>/api/part/ , /api/part/{id}/</t>
        </is>
      </c>
      <c r="I74" s="4" t="inlineStr">
        <is>
          <t>pk=987654321, full_name='HACKED', in_stock=5000, total_in_stock=5000, creation_date=2000-01-01, barcode_hash='deadbeef', category_name='Fake', stock_item_count=42</t>
        </is>
      </c>
      <c r="J74" s="4" t="inlineStr">
        <is>
          <t>1. POST a part including every read-only field
2. GET the part
3. PATCH an existing part with the same values
4. GET again</t>
        </is>
      </c>
      <c r="K74" s="4" t="inlineStr">
        <is>
          <t>201 / 200 returned; every stored value is server-derived and never equals the supplied value; no error raised for read-only keys</t>
        </is>
      </c>
      <c r="L74" s="10" t="n"/>
      <c r="M74" s="10" t="inlineStr">
        <is>
          <t>Not Run</t>
        </is>
      </c>
      <c r="N74" s="4" t="n"/>
    </row>
    <row r="75" ht="26" customHeight="1">
      <c r="A75" s="4" t="inlineStr">
        <is>
          <t>API-RO-010</t>
        </is>
      </c>
      <c r="B75" s="4" t="inlineStr">
        <is>
          <t>Read-only Fields</t>
        </is>
      </c>
      <c r="C75" s="4" t="inlineStr">
        <is>
          <t>Category read-only fields (pathstring, level, part_count, pk) ignored on PATCH</t>
        </is>
      </c>
      <c r="D75" s="4" t="inlineStr">
        <is>
          <t>Negative</t>
        </is>
      </c>
      <c r="E75" s="4" t="inlineStr">
        <is>
          <t>P2</t>
        </is>
      </c>
      <c r="F75" s="4" t="inlineStr">
        <is>
          <t>Valid admin API token</t>
        </is>
      </c>
      <c r="G75" s="4" t="inlineStr">
        <is>
          <t>PATCH</t>
        </is>
      </c>
      <c r="H75" s="4" t="inlineStr">
        <is>
          <t>/api/part/category/{id}/</t>
        </is>
      </c>
      <c r="I75" s="4" t="inlineStr">
        <is>
          <t>bogus values</t>
        </is>
      </c>
      <c r="J75" s="4" t="inlineStr">
        <is>
          <t>1. PATCH
2. GET</t>
        </is>
      </c>
      <c r="K75" s="4" t="inlineStr">
        <is>
          <t>200; values unchanged</t>
        </is>
      </c>
      <c r="L75" s="10" t="n"/>
      <c r="M75" s="10" t="inlineStr">
        <is>
          <t>Not Run</t>
        </is>
      </c>
      <c r="N75" s="4" t="n"/>
    </row>
    <row r="76" ht="39" customHeight="1">
      <c r="A76" s="4" t="inlineStr">
        <is>
          <t>API-REL-001</t>
        </is>
      </c>
      <c r="B76" s="4" t="inlineStr">
        <is>
          <t>Relational Integrity</t>
        </is>
      </c>
      <c r="C76" s="4" t="inlineStr">
        <is>
          <t>Category assignment reflected in part, list filter and part_count</t>
        </is>
      </c>
      <c r="D76" s="4" t="inlineStr">
        <is>
          <t>Positive</t>
        </is>
      </c>
      <c r="E76" s="4" t="inlineStr">
        <is>
          <t>P1</t>
        </is>
      </c>
      <c r="F76" s="4" t="inlineStr">
        <is>
          <t>Valid admin API token</t>
        </is>
      </c>
      <c r="G76" s="4" t="inlineStr">
        <is>
          <t>POST</t>
        </is>
      </c>
      <c r="H76" s="4" t="inlineStr">
        <is>
          <t>/api/part/</t>
        </is>
      </c>
      <c r="I76" s="4" t="inlineStr">
        <is>
          <t>category=C</t>
        </is>
      </c>
      <c r="J76" s="4" t="inlineStr">
        <is>
          <t>1. Create part in C
2. Filter list by C
3. GET C</t>
        </is>
      </c>
      <c r="K76" s="4" t="inlineStr">
        <is>
          <t>category/category_name correct; list = [part]; part_count = 1</t>
        </is>
      </c>
      <c r="L76" s="10" t="n"/>
      <c r="M76" s="10" t="inlineStr">
        <is>
          <t>Not Run</t>
        </is>
      </c>
      <c r="N76" s="4" t="n"/>
    </row>
    <row r="77" ht="26" customHeight="1">
      <c r="A77" s="4" t="inlineStr">
        <is>
          <t>API-REL-002</t>
        </is>
      </c>
      <c r="B77" s="4" t="inlineStr">
        <is>
          <t>Relational Integrity</t>
        </is>
      </c>
      <c r="C77" s="4" t="inlineStr">
        <is>
          <t>Re-assign part between categories</t>
        </is>
      </c>
      <c r="D77" s="4" t="inlineStr">
        <is>
          <t>Positive</t>
        </is>
      </c>
      <c r="E77" s="4" t="inlineStr">
        <is>
          <t>P1</t>
        </is>
      </c>
      <c r="F77" s="4" t="inlineStr">
        <is>
          <t>Valid admin API token; A, B</t>
        </is>
      </c>
      <c r="G77" s="4" t="inlineStr">
        <is>
          <t>PATCH</t>
        </is>
      </c>
      <c r="H77" s="4" t="inlineStr">
        <is>
          <t>/api/part/{id}/</t>
        </is>
      </c>
      <c r="I77" s="4" t="inlineStr">
        <is>
          <t>{"category": B}</t>
        </is>
      </c>
      <c r="J77" s="4" t="inlineStr">
        <is>
          <t>1. PATCH
2. GET A, B</t>
        </is>
      </c>
      <c r="K77" s="4" t="inlineStr">
        <is>
          <t>part.category=B; A.part_count 0; B.part_count 1</t>
        </is>
      </c>
      <c r="L77" s="10" t="n"/>
      <c r="M77" s="10" t="inlineStr">
        <is>
          <t>Not Run</t>
        </is>
      </c>
      <c r="N77" s="4" t="n"/>
    </row>
    <row r="78" ht="26" customHeight="1">
      <c r="A78" s="4" t="inlineStr">
        <is>
          <t>API-REL-005</t>
        </is>
      </c>
      <c r="B78" s="4" t="inlineStr">
        <is>
          <t>Relational Integrity</t>
        </is>
      </c>
      <c r="C78" s="4" t="inlineStr">
        <is>
          <t>Part cannot be assigned to structural category</t>
        </is>
      </c>
      <c r="D78" s="4" t="inlineStr">
        <is>
          <t>Negative</t>
        </is>
      </c>
      <c r="E78" s="4" t="inlineStr">
        <is>
          <t>P1</t>
        </is>
      </c>
      <c r="F78" s="4" t="inlineStr">
        <is>
          <t>Valid admin API token; structural category</t>
        </is>
      </c>
      <c r="G78" s="4" t="inlineStr">
        <is>
          <t>POST</t>
        </is>
      </c>
      <c r="H78" s="4" t="inlineStr">
        <is>
          <t>/api/part/</t>
        </is>
      </c>
      <c r="I78" s="4" t="inlineStr">
        <is>
          <t>category=&lt;structural&gt;</t>
        </is>
      </c>
      <c r="J78" s="4" t="inlineStr">
        <is>
          <t>1. POST</t>
        </is>
      </c>
      <c r="K78" s="4" t="inlineStr">
        <is>
          <t>400 on 'category'</t>
        </is>
      </c>
      <c r="L78" s="10" t="n"/>
      <c r="M78" s="10" t="inlineStr">
        <is>
          <t>Not Run</t>
        </is>
      </c>
      <c r="N78" s="4" t="n"/>
    </row>
    <row r="79" ht="26" customHeight="1">
      <c r="A79" s="4" t="inlineStr">
        <is>
          <t>API-REL-008</t>
        </is>
      </c>
      <c r="B79" s="4" t="inlineStr">
        <is>
          <t>Relational Integrity</t>
        </is>
      </c>
      <c r="C79" s="4" t="inlineStr">
        <is>
          <t>Category cannot move under its descendant (cycle)</t>
        </is>
      </c>
      <c r="D79" s="4" t="inlineStr">
        <is>
          <t>Negative</t>
        </is>
      </c>
      <c r="E79" s="4" t="inlineStr">
        <is>
          <t>P1</t>
        </is>
      </c>
      <c r="F79" s="4" t="inlineStr">
        <is>
          <t>Valid admin API token; top &gt; child &gt; grandchild</t>
        </is>
      </c>
      <c r="G79" s="4" t="inlineStr">
        <is>
          <t>PATCH</t>
        </is>
      </c>
      <c r="H79" s="4" t="inlineStr">
        <is>
          <t>/api/part/category/{id}/</t>
        </is>
      </c>
      <c r="I79" s="4" t="inlineStr">
        <is>
          <t>{"parent": grandchild}</t>
        </is>
      </c>
      <c r="J79" s="4" t="inlineStr">
        <is>
          <t>1. PATCH top</t>
        </is>
      </c>
      <c r="K79" s="4" t="inlineStr">
        <is>
          <t>400; top.parent still null</t>
        </is>
      </c>
      <c r="L79" s="10" t="n"/>
      <c r="M79" s="10" t="inlineStr">
        <is>
          <t>Not Run</t>
        </is>
      </c>
      <c r="N79" s="4" t="n"/>
    </row>
    <row r="80">
      <c r="A80" s="4" t="inlineStr">
        <is>
          <t>API-REL-009</t>
        </is>
      </c>
      <c r="B80" s="4" t="inlineStr">
        <is>
          <t>Relational Integrity</t>
        </is>
      </c>
      <c r="C80" s="4" t="inlineStr">
        <is>
          <t>Duplicate category name under same parent</t>
        </is>
      </c>
      <c r="D80" s="4" t="inlineStr">
        <is>
          <t>Negative</t>
        </is>
      </c>
      <c r="E80" s="4" t="inlineStr">
        <is>
          <t>P1</t>
        </is>
      </c>
      <c r="F80" s="4" t="inlineStr">
        <is>
          <t>Valid admin API token</t>
        </is>
      </c>
      <c r="G80" s="4" t="inlineStr">
        <is>
          <t>POST</t>
        </is>
      </c>
      <c r="H80" s="4" t="inlineStr">
        <is>
          <t>/api/part/category/</t>
        </is>
      </c>
      <c r="I80" s="4" t="inlineStr">
        <is>
          <t>same name + same parent</t>
        </is>
      </c>
      <c r="J80" s="4" t="inlineStr">
        <is>
          <t>1. POST duplicate</t>
        </is>
      </c>
      <c r="K80" s="4" t="inlineStr">
        <is>
          <t>400 (conflict)</t>
        </is>
      </c>
      <c r="L80" s="10" t="n"/>
      <c r="M80" s="10" t="inlineStr">
        <is>
          <t>Not Run</t>
        </is>
      </c>
      <c r="N80" s="4" t="n"/>
    </row>
    <row r="81" ht="39" customHeight="1">
      <c r="A81" s="4" t="inlineStr">
        <is>
          <t>API-REL-020</t>
        </is>
      </c>
      <c r="B81" s="4" t="inlineStr">
        <is>
          <t>Relational Integrity</t>
        </is>
      </c>
      <c r="C81" s="4" t="inlineStr">
        <is>
          <t>Part default_location link and filter</t>
        </is>
      </c>
      <c r="D81" s="4" t="inlineStr">
        <is>
          <t>Positive</t>
        </is>
      </c>
      <c r="E81" s="4" t="inlineStr">
        <is>
          <t>P1</t>
        </is>
      </c>
      <c r="F81" s="4" t="inlineStr">
        <is>
          <t>Valid admin API token; location L</t>
        </is>
      </c>
      <c r="G81" s="4" t="inlineStr">
        <is>
          <t>POST</t>
        </is>
      </c>
      <c r="H81" s="4" t="inlineStr">
        <is>
          <t>/api/part/</t>
        </is>
      </c>
      <c r="I81" s="4" t="inlineStr">
        <is>
          <t>default_location=L</t>
        </is>
      </c>
      <c r="J81" s="4" t="inlineStr">
        <is>
          <t>1. Create
2. GET with location_detail
3. GET ?default_location=L</t>
        </is>
      </c>
      <c r="K81" s="4" t="inlineStr">
        <is>
          <t>default_location = L; filter returns exactly this part</t>
        </is>
      </c>
      <c r="L81" s="10" t="n"/>
      <c r="M81" s="10" t="inlineStr">
        <is>
          <t>Not Run</t>
        </is>
      </c>
      <c r="N81" s="4" t="n"/>
    </row>
    <row r="82" ht="26" customHeight="1">
      <c r="A82" s="4" t="inlineStr">
        <is>
          <t>API-REL-021</t>
        </is>
      </c>
      <c r="B82" s="4" t="inlineStr">
        <is>
          <t>Relational Integrity</t>
        </is>
      </c>
      <c r="C82" s="4" t="inlineStr">
        <is>
          <t>Category default location exposed on part</t>
        </is>
      </c>
      <c r="D82" s="4" t="inlineStr">
        <is>
          <t>Positive</t>
        </is>
      </c>
      <c r="E82" s="4" t="inlineStr">
        <is>
          <t>P2</t>
        </is>
      </c>
      <c r="F82" s="4" t="inlineStr">
        <is>
          <t>Valid admin API token; category with default_location L</t>
        </is>
      </c>
      <c r="G82" s="4" t="inlineStr">
        <is>
          <t>GET</t>
        </is>
      </c>
      <c r="H82" s="4" t="inlineStr">
        <is>
          <t>/api/part/{id}/</t>
        </is>
      </c>
      <c r="I82" s="4" t="inlineStr">
        <is>
          <t>-</t>
        </is>
      </c>
      <c r="J82" s="4" t="inlineStr">
        <is>
          <t>1. Create part in category
2. GET part</t>
        </is>
      </c>
      <c r="K82" s="4" t="inlineStr">
        <is>
          <t>category_default_location = L; part default_location null</t>
        </is>
      </c>
      <c r="L82" s="10" t="n"/>
      <c r="M82" s="10" t="inlineStr">
        <is>
          <t>Not Run</t>
        </is>
      </c>
      <c r="N82" s="4" t="n"/>
    </row>
    <row r="83" ht="39" customHeight="1">
      <c r="A83" s="4" t="inlineStr">
        <is>
          <t>API-REL-024</t>
        </is>
      </c>
      <c r="B83" s="4" t="inlineStr">
        <is>
          <t>Relational Integrity</t>
        </is>
      </c>
      <c r="C83" s="4" t="inlineStr">
        <is>
          <t>initial_stock creates a stock item at location</t>
        </is>
      </c>
      <c r="D83" s="4" t="inlineStr">
        <is>
          <t>Positive</t>
        </is>
      </c>
      <c r="E83" s="4" t="inlineStr">
        <is>
          <t>P1</t>
        </is>
      </c>
      <c r="F83" s="4" t="inlineStr">
        <is>
          <t>Valid admin API token; location L</t>
        </is>
      </c>
      <c r="G83" s="4" t="inlineStr">
        <is>
          <t>POST</t>
        </is>
      </c>
      <c r="H83" s="4" t="inlineStr">
        <is>
          <t>/api/part/</t>
        </is>
      </c>
      <c r="I83" s="4" t="inlineStr">
        <is>
          <t>{"initial_stock": {"quantity": 25, "location": L}}</t>
        </is>
      </c>
      <c r="J83" s="4" t="inlineStr">
        <is>
          <t>1. POST
2. GET /api/stock/?part=
3. GET part</t>
        </is>
      </c>
      <c r="K83" s="4" t="inlineStr">
        <is>
          <t>1 stock item, qty 25 at L; part.in_stock 25</t>
        </is>
      </c>
      <c r="L83" s="10" t="n"/>
      <c r="M83" s="10" t="inlineStr">
        <is>
          <t>Not Run</t>
        </is>
      </c>
      <c r="N83" s="4" t="n"/>
    </row>
    <row r="84" ht="39" customHeight="1">
      <c r="A84" s="4" t="inlineStr">
        <is>
          <t>API-REL-026</t>
        </is>
      </c>
      <c r="B84" s="4" t="inlineStr">
        <is>
          <t>Relational Integrity</t>
        </is>
      </c>
      <c r="C84" s="4" t="inlineStr">
        <is>
          <t>Part inherits default location from top-level ancestor</t>
        </is>
      </c>
      <c r="D84" s="4" t="inlineStr">
        <is>
          <t>Positive</t>
        </is>
      </c>
      <c r="E84" s="4" t="inlineStr">
        <is>
          <t>P2</t>
        </is>
      </c>
      <c r="F84" s="4" t="inlineStr">
        <is>
          <t>Valid admin API token; top-level category with default_location L; child</t>
        </is>
      </c>
      <c r="G84" s="4" t="inlineStr">
        <is>
          <t>GET</t>
        </is>
      </c>
      <c r="H84" s="4" t="inlineStr">
        <is>
          <t>/api/part/{id}/</t>
        </is>
      </c>
      <c r="I84" s="4" t="inlineStr">
        <is>
          <t>-</t>
        </is>
      </c>
      <c r="J84" s="4" t="inlineStr">
        <is>
          <t>1. Part in child
2. GET part</t>
        </is>
      </c>
      <c r="K84" s="4" t="inlineStr">
        <is>
          <t>category_default_location = L  (DEFECT: returns null)</t>
        </is>
      </c>
      <c r="L84" s="10" t="n"/>
      <c r="M84" s="10" t="inlineStr">
        <is>
          <t>Not Run</t>
        </is>
      </c>
      <c r="N84" s="4" t="inlineStr">
        <is>
          <t>DEF-02: top-level ancestor default ignored</t>
        </is>
      </c>
    </row>
    <row r="85" ht="52" customHeight="1">
      <c r="A85" s="4" t="inlineStr">
        <is>
          <t>API-REL-030</t>
        </is>
      </c>
      <c r="B85" s="4" t="inlineStr">
        <is>
          <t>Relational Integrity</t>
        </is>
      </c>
      <c r="C85" s="4" t="inlineStr">
        <is>
          <t>initial_supplier creates linked SupplierPart + ManufacturerPart</t>
        </is>
      </c>
      <c r="D85" s="4" t="inlineStr">
        <is>
          <t>Positive</t>
        </is>
      </c>
      <c r="E85" s="4" t="inlineStr">
        <is>
          <t>P1</t>
        </is>
      </c>
      <c r="F85" s="4" t="inlineStr">
        <is>
          <t>Valid admin API token; supplier S, manufacturer M</t>
        </is>
      </c>
      <c r="G85" s="4" t="inlineStr">
        <is>
          <t>POST</t>
        </is>
      </c>
      <c r="H85" s="4" t="inlineStr">
        <is>
          <t>/api/part/</t>
        </is>
      </c>
      <c r="I85" s="4" t="inlineStr">
        <is>
          <t>{"initial_supplier": {"supplier": S, "sku", "manufacturer": M, "mpn"}}</t>
        </is>
      </c>
      <c r="J85" s="4" t="inlineStr">
        <is>
          <t>1. POST
2. GET /api/company/part/?part=
3. GET /api/company/part/manufacturer/?part=</t>
        </is>
      </c>
      <c r="K85" s="4" t="inlineStr">
        <is>
          <t>1 supplier part (SKU, supplier S); 1 manufacturer part (MPN, M); supplier part links to manufacturer part</t>
        </is>
      </c>
      <c r="L85" s="10" t="n"/>
      <c r="M85" s="10" t="inlineStr">
        <is>
          <t>Not Run</t>
        </is>
      </c>
      <c r="N85" s="4" t="n"/>
    </row>
    <row r="86">
      <c r="A86" s="4" t="inlineStr">
        <is>
          <t>API-REL-031</t>
        </is>
      </c>
      <c r="B86" s="4" t="inlineStr">
        <is>
          <t>Relational Integrity</t>
        </is>
      </c>
      <c r="C86" s="4" t="inlineStr">
        <is>
          <t>initial_supplier with non-supplier company</t>
        </is>
      </c>
      <c r="D86" s="4" t="inlineStr">
        <is>
          <t>Negative</t>
        </is>
      </c>
      <c r="E86" s="4" t="inlineStr">
        <is>
          <t>P2</t>
        </is>
      </c>
      <c r="F86" s="4" t="inlineStr">
        <is>
          <t>Valid admin API token</t>
        </is>
      </c>
      <c r="G86" s="4" t="inlineStr">
        <is>
          <t>POST</t>
        </is>
      </c>
      <c r="H86" s="4" t="inlineStr">
        <is>
          <t>/api/part/</t>
        </is>
      </c>
      <c r="I86" s="4" t="inlineStr">
        <is>
          <t>supplier=&lt;customer company&gt;</t>
        </is>
      </c>
      <c r="J86" s="4" t="inlineStr">
        <is>
          <t>1. POST</t>
        </is>
      </c>
      <c r="K86" s="4" t="inlineStr">
        <is>
          <t>400 'not a valid supplier'</t>
        </is>
      </c>
      <c r="L86" s="10" t="n"/>
      <c r="M86" s="10" t="inlineStr">
        <is>
          <t>Not Run</t>
        </is>
      </c>
      <c r="N86" s="4" t="n"/>
    </row>
    <row r="87">
      <c r="A87" s="4" t="inlineStr">
        <is>
          <t>API-REL-040</t>
        </is>
      </c>
      <c r="B87" s="4" t="inlineStr">
        <is>
          <t>Relational Integrity</t>
        </is>
      </c>
      <c r="C87" s="4" t="inlineStr">
        <is>
          <t>Duplicate name + IPN + revision</t>
        </is>
      </c>
      <c r="D87" s="4" t="inlineStr">
        <is>
          <t>Negative</t>
        </is>
      </c>
      <c r="E87" s="4" t="inlineStr">
        <is>
          <t>P1</t>
        </is>
      </c>
      <c r="F87" s="4" t="inlineStr">
        <is>
          <t>Valid admin API token</t>
        </is>
      </c>
      <c r="G87" s="4" t="inlineStr">
        <is>
          <t>POST</t>
        </is>
      </c>
      <c r="H87" s="4" t="inlineStr">
        <is>
          <t>/api/part/</t>
        </is>
      </c>
      <c r="I87" s="4" t="inlineStr">
        <is>
          <t>same name/IPN/revision</t>
        </is>
      </c>
      <c r="J87" s="4" t="inlineStr">
        <is>
          <t>1. POST duplicate</t>
        </is>
      </c>
      <c r="K87" s="4" t="inlineStr">
        <is>
          <t>400 (uniqueness conflict)</t>
        </is>
      </c>
      <c r="L87" s="10" t="n"/>
      <c r="M87" s="10" t="inlineStr">
        <is>
          <t>Not Run</t>
        </is>
      </c>
      <c r="N87" s="4" t="n"/>
    </row>
    <row r="88" hidden="1" ht="52" customHeight="1">
      <c r="A88" s="4" t="inlineStr">
        <is>
          <t>API-SEC-001</t>
        </is>
      </c>
      <c r="B88" s="4" t="inlineStr">
        <is>
          <t>Security</t>
        </is>
      </c>
      <c r="C88" s="4" t="inlineStr">
        <is>
          <t>Requests without credentials are rejected on list, create and detail endpoints</t>
        </is>
      </c>
      <c r="D88" s="4" t="inlineStr">
        <is>
          <t>Negative</t>
        </is>
      </c>
      <c r="E88" s="4" t="inlineStr">
        <is>
          <t>P1</t>
        </is>
      </c>
      <c r="F88" s="4" t="inlineStr">
        <is>
          <t>No Authorization header; a part exists</t>
        </is>
      </c>
      <c r="G88" s="4" t="inlineStr">
        <is>
          <t>GET / POST / PATCH / DELETE</t>
        </is>
      </c>
      <c r="H88" s="4" t="inlineStr">
        <is>
          <t>/api/part/ , /api/part/{id}/ , /api/part/category/</t>
        </is>
      </c>
      <c r="I88" s="4" t="inlineStr">
        <is>
          <t>-</t>
        </is>
      </c>
      <c r="J88" s="4" t="inlineStr">
        <is>
          <t>1. Call each endpoint and method anonymously
2. As admin, verify the record is unchanged and nothing was created</t>
        </is>
      </c>
      <c r="K88" s="4" t="inlineStr">
        <is>
          <t>401 Unauthorized for every call; no side-effects</t>
        </is>
      </c>
      <c r="L88" s="10" t="n"/>
      <c r="M88" s="10" t="inlineStr">
        <is>
          <t>Not Run</t>
        </is>
      </c>
      <c r="N88" s="4" t="n"/>
    </row>
    <row r="89" hidden="1">
      <c r="A89" s="4" t="inlineStr">
        <is>
          <t>API-SEC-003</t>
        </is>
      </c>
      <c r="B89" s="4" t="inlineStr">
        <is>
          <t>Security</t>
        </is>
      </c>
      <c r="C89" s="4" t="inlineStr">
        <is>
          <t>Invalid / malformed Authorization header</t>
        </is>
      </c>
      <c r="D89" s="4" t="inlineStr">
        <is>
          <t>Negative</t>
        </is>
      </c>
      <c r="E89" s="4" t="inlineStr">
        <is>
          <t>P1</t>
        </is>
      </c>
      <c r="F89" s="4" t="inlineStr">
        <is>
          <t>-</t>
        </is>
      </c>
      <c r="G89" s="4" t="inlineStr">
        <is>
          <t>GET</t>
        </is>
      </c>
      <c r="H89" s="4" t="inlineStr">
        <is>
          <t>/api/part/</t>
        </is>
      </c>
      <c r="I89" s="4" t="inlineStr">
        <is>
          <t>'Token bad', 'Token ', 'Bearer x', 'garbage'</t>
        </is>
      </c>
      <c r="J89" s="4" t="inlineStr">
        <is>
          <t>1. GET</t>
        </is>
      </c>
      <c r="K89" s="4" t="inlineStr">
        <is>
          <t>401</t>
        </is>
      </c>
      <c r="L89" s="10" t="n"/>
      <c r="M89" s="10" t="inlineStr">
        <is>
          <t>Not Run</t>
        </is>
      </c>
      <c r="N89" s="4" t="n"/>
    </row>
    <row r="90" hidden="1" ht="52" customHeight="1">
      <c r="A90" s="4" t="inlineStr">
        <is>
          <t>API-SEC-010</t>
        </is>
      </c>
      <c r="B90" s="4" t="inlineStr">
        <is>
          <t>Security</t>
        </is>
      </c>
      <c r="C90" s="4" t="inlineStr">
        <is>
          <t>View-only user: read allowed, writes forbidden</t>
        </is>
      </c>
      <c r="D90" s="4" t="inlineStr">
        <is>
          <t>Negative</t>
        </is>
      </c>
      <c r="E90" s="4" t="inlineStr">
        <is>
          <t>P1</t>
        </is>
      </c>
      <c r="F90" s="4" t="inlineStr">
        <is>
          <t>User with view-only Part/Category role</t>
        </is>
      </c>
      <c r="G90" s="4" t="inlineStr">
        <is>
          <t>GET/POST/PATCH/DELETE</t>
        </is>
      </c>
      <c r="H90" s="4" t="inlineStr">
        <is>
          <t>/api/part/ , /api/part/category/</t>
        </is>
      </c>
      <c r="I90" s="4" t="inlineStr">
        <is>
          <t>-</t>
        </is>
      </c>
      <c r="J90" s="4" t="inlineStr">
        <is>
          <t>1. GET list &amp; detail
2. POST part &amp; category
3. PATCH
4. DELETE</t>
        </is>
      </c>
      <c r="K90" s="4" t="inlineStr">
        <is>
          <t>GET 200; POST/PATCH/DELETE 403</t>
        </is>
      </c>
      <c r="L90" s="10" t="n"/>
      <c r="M90" s="10" t="inlineStr">
        <is>
          <t>Not Run</t>
        </is>
      </c>
      <c r="N90" s="4" t="inlineStr">
        <is>
          <t>Requires a user with view-only Part/Category role</t>
        </is>
      </c>
    </row>
    <row r="91" hidden="1" ht="26" customHeight="1">
      <c r="A91" s="4" t="inlineStr">
        <is>
          <t>API-EDGE-001</t>
        </is>
      </c>
      <c r="B91" s="4" t="inlineStr">
        <is>
          <t>Edge Cases</t>
        </is>
      </c>
      <c r="C91" s="4" t="inlineStr">
        <is>
          <t>Non-existent part/category IDs (GET, PATCH, PUT, DELETE)</t>
        </is>
      </c>
      <c r="D91" s="4" t="inlineStr">
        <is>
          <t>Negative</t>
        </is>
      </c>
      <c r="E91" s="4" t="inlineStr">
        <is>
          <t>P1</t>
        </is>
      </c>
      <c r="F91" s="4" t="inlineStr">
        <is>
          <t>Valid admin API token</t>
        </is>
      </c>
      <c r="G91" s="4" t="inlineStr">
        <is>
          <t>ALL</t>
        </is>
      </c>
      <c r="H91" s="4" t="inlineStr">
        <is>
          <t>/api/part/{id}/ , /api/part/category/{id}/</t>
        </is>
      </c>
      <c r="I91" s="4" t="inlineStr">
        <is>
          <t>id=999999999</t>
        </is>
      </c>
      <c r="J91" s="4" t="inlineStr">
        <is>
          <t>1. Call each method</t>
        </is>
      </c>
      <c r="K91" s="4" t="inlineStr">
        <is>
          <t>404</t>
        </is>
      </c>
      <c r="L91" s="10" t="n"/>
      <c r="M91" s="10" t="inlineStr">
        <is>
          <t>Not Run</t>
        </is>
      </c>
      <c r="N91" s="4" t="n"/>
    </row>
    <row r="92" hidden="1">
      <c r="A92" s="4" t="inlineStr">
        <is>
          <t>API-EDGE-010</t>
        </is>
      </c>
      <c r="B92" s="4" t="inlineStr">
        <is>
          <t>Edge Cases</t>
        </is>
      </c>
      <c r="C92" s="4" t="inlineStr">
        <is>
          <t>Malformed JSON body</t>
        </is>
      </c>
      <c r="D92" s="4" t="inlineStr">
        <is>
          <t>Negative</t>
        </is>
      </c>
      <c r="E92" s="4" t="inlineStr">
        <is>
          <t>P2</t>
        </is>
      </c>
      <c r="F92" s="4" t="inlineStr">
        <is>
          <t>Valid admin API token</t>
        </is>
      </c>
      <c r="G92" s="4" t="inlineStr">
        <is>
          <t>POST</t>
        </is>
      </c>
      <c r="H92" s="4" t="inlineStr">
        <is>
          <t>/api/part/</t>
        </is>
      </c>
      <c r="I92" s="4" t="inlineStr">
        <is>
          <t xml:space="preserve">{"name": "broken", </t>
        </is>
      </c>
      <c r="J92" s="4" t="inlineStr">
        <is>
          <t>1. POST</t>
        </is>
      </c>
      <c r="K92" s="4" t="inlineStr">
        <is>
          <t>400 parse error</t>
        </is>
      </c>
      <c r="L92" s="10" t="n"/>
      <c r="M92" s="10" t="inlineStr">
        <is>
          <t>Not Run</t>
        </is>
      </c>
      <c r="N92" s="4" t="n"/>
    </row>
    <row r="93" hidden="1">
      <c r="A93" s="4" t="inlineStr">
        <is>
          <t>API-EDGE-011</t>
        </is>
      </c>
      <c r="B93" s="4" t="inlineStr">
        <is>
          <t>Edge Cases</t>
        </is>
      </c>
      <c r="C93" s="4" t="inlineStr">
        <is>
          <t>Unsupported Content-Type</t>
        </is>
      </c>
      <c r="D93" s="4" t="inlineStr">
        <is>
          <t>Negative</t>
        </is>
      </c>
      <c r="E93" s="4" t="inlineStr">
        <is>
          <t>P3</t>
        </is>
      </c>
      <c r="F93" s="4" t="inlineStr">
        <is>
          <t>Valid admin API token</t>
        </is>
      </c>
      <c r="G93" s="4" t="inlineStr">
        <is>
          <t>POST</t>
        </is>
      </c>
      <c r="H93" s="4" t="inlineStr">
        <is>
          <t>/api/part/</t>
        </is>
      </c>
      <c r="I93" s="4" t="inlineStr">
        <is>
          <t>text/plain</t>
        </is>
      </c>
      <c r="J93" s="4" t="inlineStr">
        <is>
          <t>1. POST</t>
        </is>
      </c>
      <c r="K93" s="4" t="inlineStr">
        <is>
          <t>415</t>
        </is>
      </c>
      <c r="L93" s="10" t="n"/>
      <c r="M93" s="10" t="inlineStr">
        <is>
          <t>Not Run</t>
        </is>
      </c>
      <c r="N93" s="4" t="n"/>
    </row>
    <row r="94" hidden="1">
      <c r="A94" s="4" t="inlineStr">
        <is>
          <t>API-EDGE-012</t>
        </is>
      </c>
      <c r="B94" s="4" t="inlineStr">
        <is>
          <t>Edge Cases</t>
        </is>
      </c>
      <c r="C94" s="4" t="inlineStr">
        <is>
          <t>Non-object JSON body (array, string, number)</t>
        </is>
      </c>
      <c r="D94" s="4" t="inlineStr">
        <is>
          <t>Negative</t>
        </is>
      </c>
      <c r="E94" s="4" t="inlineStr">
        <is>
          <t>P2</t>
        </is>
      </c>
      <c r="F94" s="4" t="inlineStr">
        <is>
          <t>Valid admin API token</t>
        </is>
      </c>
      <c r="G94" s="4" t="inlineStr">
        <is>
          <t>POST</t>
        </is>
      </c>
      <c r="H94" s="4" t="inlineStr">
        <is>
          <t>/api/part/</t>
        </is>
      </c>
      <c r="I94" s="4" t="inlineStr">
        <is>
          <t>[], [{…}], "str", 42</t>
        </is>
      </c>
      <c r="J94" s="4" t="inlineStr">
        <is>
          <t>1. POST</t>
        </is>
      </c>
      <c r="K94" s="4" t="inlineStr">
        <is>
          <t>400  (DEFECT: returns 500)</t>
        </is>
      </c>
      <c r="L94" s="10" t="n"/>
      <c r="M94" s="10" t="inlineStr">
        <is>
          <t>Not Run</t>
        </is>
      </c>
      <c r="N94" s="4" t="inlineStr">
        <is>
          <t>DEF-01: server returns 500</t>
        </is>
      </c>
    </row>
    <row r="95" hidden="1" ht="39" customHeight="1">
      <c r="A95" s="4" t="inlineStr">
        <is>
          <t>API-EDGE-030</t>
        </is>
      </c>
      <c r="B95" s="4" t="inlineStr">
        <is>
          <t>Edge Cases</t>
        </is>
      </c>
      <c r="C95" s="4" t="inlineStr">
        <is>
          <t>Concurrent updates: last write wins</t>
        </is>
      </c>
      <c r="D95" s="4" t="inlineStr">
        <is>
          <t>Boundary</t>
        </is>
      </c>
      <c r="E95" s="4" t="inlineStr">
        <is>
          <t>P2</t>
        </is>
      </c>
      <c r="F95" s="4" t="inlineStr">
        <is>
          <t>Valid admin API token x2 sessions</t>
        </is>
      </c>
      <c r="G95" s="4" t="inlineStr">
        <is>
          <t>PATCH</t>
        </is>
      </c>
      <c r="H95" s="4" t="inlineStr">
        <is>
          <t>/api/part/{id}/</t>
        </is>
      </c>
      <c r="I95" s="4" t="inlineStr">
        <is>
          <t>writer-1 then writer-2</t>
        </is>
      </c>
      <c r="J95" s="4" t="inlineStr">
        <is>
          <t>1. PATCH from session A
2. PATCH from session B
3. GET</t>
        </is>
      </c>
      <c r="K95" s="4" t="inlineStr">
        <is>
          <t>200 both; final value writer-2 (no optimistic locking)</t>
        </is>
      </c>
      <c r="L95" s="10" t="n"/>
      <c r="M95" s="10" t="inlineStr">
        <is>
          <t>Not Run</t>
        </is>
      </c>
      <c r="N95" s="4" t="inlineStr">
        <is>
          <t>No ETag / If-Match support; documents current behaviour</t>
        </is>
      </c>
    </row>
    <row r="96" hidden="1" ht="39" customHeight="1">
      <c r="A96" s="4" t="inlineStr">
        <is>
          <t>API-EDGE-031</t>
        </is>
      </c>
      <c r="B96" s="4" t="inlineStr">
        <is>
          <t>Edge Cases</t>
        </is>
      </c>
      <c r="C96" s="4" t="inlineStr">
        <is>
          <t>PATCH / DELETE on a deleted part</t>
        </is>
      </c>
      <c r="D96" s="4" t="inlineStr">
        <is>
          <t>Negative</t>
        </is>
      </c>
      <c r="E96" s="4" t="inlineStr">
        <is>
          <t>P2</t>
        </is>
      </c>
      <c r="F96" s="4" t="inlineStr">
        <is>
          <t>Valid admin API token</t>
        </is>
      </c>
      <c r="G96" s="4" t="inlineStr">
        <is>
          <t>PATCH/DELETE</t>
        </is>
      </c>
      <c r="H96" s="4" t="inlineStr">
        <is>
          <t>/api/part/{id}/</t>
        </is>
      </c>
      <c r="I96" s="4" t="inlineStr">
        <is>
          <t>-</t>
        </is>
      </c>
      <c r="J96" s="4" t="inlineStr">
        <is>
          <t>1. Delete
2. PATCH
3. DELETE again</t>
        </is>
      </c>
      <c r="K96" s="4" t="inlineStr">
        <is>
          <t>404 both</t>
        </is>
      </c>
      <c r="L96" s="10" t="n"/>
      <c r="M96" s="10" t="inlineStr">
        <is>
          <t>Not Run</t>
        </is>
      </c>
      <c r="N96" s="4" t="n"/>
    </row>
    <row r="97" ht="52" customHeight="1">
      <c r="A97" s="4" t="inlineStr">
        <is>
          <t>API-CON-001</t>
        </is>
      </c>
      <c r="B97" s="4" t="inlineStr">
        <is>
          <t>Schema Contract</t>
        </is>
      </c>
      <c r="C97" s="4" t="inlineStr">
        <is>
          <t>Part and Category field metadata (OPTIONS) matches the published OpenAPI schema</t>
        </is>
      </c>
      <c r="D97" s="4" t="inlineStr">
        <is>
          <t>Positive</t>
        </is>
      </c>
      <c r="E97" s="4" t="inlineStr">
        <is>
          <t>P2</t>
        </is>
      </c>
      <c r="F97" s="4" t="inlineStr">
        <is>
          <t>Valid admin API token</t>
        </is>
      </c>
      <c r="G97" s="4" t="inlineStr">
        <is>
          <t>OPTIONS</t>
        </is>
      </c>
      <c r="H97" s="4" t="inlineStr">
        <is>
          <t>/api/part/ , /api/part/category/</t>
        </is>
      </c>
      <c r="I97" s="4" t="inlineStr">
        <is>
          <t>Part: name, description, IPN, revision, keywords, units, link, notes + read-only fields; Category: name, description, pathstring, level</t>
        </is>
      </c>
      <c r="J97" s="4" t="inlineStr">
        <is>
          <t>1. OPTIONS /api/part/ and /api/part/category/
2. Compare required / read_only / max_length per field with the spec</t>
        </is>
      </c>
      <c r="K97" s="4" t="inlineStr">
        <is>
          <t>All attributes match the OpenAPI definition (v530)</t>
        </is>
      </c>
      <c r="L97" s="10" t="n"/>
      <c r="M97" s="10" t="inlineStr">
        <is>
          <t>Not Run</t>
        </is>
      </c>
      <c r="N97" s="4" t="n"/>
    </row>
    <row r="98" ht="26" customHeight="1">
      <c r="A98" s="4" t="inlineStr">
        <is>
          <t>API-CON-003</t>
        </is>
      </c>
      <c r="B98" s="4" t="inlineStr">
        <is>
          <t>Schema Contract</t>
        </is>
      </c>
      <c r="C98" s="4" t="inlineStr">
        <is>
          <t>category_name present for uncategorised part (spec: required)</t>
        </is>
      </c>
      <c r="D98" s="4" t="inlineStr">
        <is>
          <t>Positive</t>
        </is>
      </c>
      <c r="E98" s="4" t="inlineStr">
        <is>
          <t>P3</t>
        </is>
      </c>
      <c r="F98" s="4" t="inlineStr">
        <is>
          <t>Valid admin API token</t>
        </is>
      </c>
      <c r="G98" s="4" t="inlineStr">
        <is>
          <t>GET</t>
        </is>
      </c>
      <c r="H98" s="4" t="inlineStr">
        <is>
          <t>/api/part/{id}/</t>
        </is>
      </c>
      <c r="I98" s="4" t="inlineStr">
        <is>
          <t>category=null</t>
        </is>
      </c>
      <c r="J98" s="4" t="inlineStr">
        <is>
          <t>1. GET</t>
        </is>
      </c>
      <c r="K98" s="4" t="inlineStr">
        <is>
          <t>category_name key present  (DEVIATION: omitted)</t>
        </is>
      </c>
      <c r="L98" s="10" t="n"/>
      <c r="M98" s="10" t="inlineStr">
        <is>
          <t>Not Run</t>
        </is>
      </c>
      <c r="N98" s="4" t="inlineStr">
        <is>
          <t>DEV-01: category_name omitted when uncategorised</t>
        </is>
      </c>
    </row>
    <row r="99" ht="26" customHeight="1">
      <c r="A99" s="4" t="inlineStr">
        <is>
          <t>API-CON-004</t>
        </is>
      </c>
      <c r="B99" s="4" t="inlineStr">
        <is>
          <t>Schema Contract</t>
        </is>
      </c>
      <c r="C99" s="4" t="inlineStr">
        <is>
          <t>POST response computed fields equal subsequent GET</t>
        </is>
      </c>
      <c r="D99" s="4" t="inlineStr">
        <is>
          <t>Positive</t>
        </is>
      </c>
      <c r="E99" s="4" t="inlineStr">
        <is>
          <t>P3</t>
        </is>
      </c>
      <c r="F99" s="4" t="inlineStr">
        <is>
          <t>Valid admin API token</t>
        </is>
      </c>
      <c r="G99" s="4" t="inlineStr">
        <is>
          <t>POST/GET</t>
        </is>
      </c>
      <c r="H99" s="4" t="inlineStr">
        <is>
          <t>/api/part/</t>
        </is>
      </c>
      <c r="I99" s="4" t="inlineStr">
        <is>
          <t>-</t>
        </is>
      </c>
      <c r="J99" s="4" t="inlineStr">
        <is>
          <t>1. POST
2. GET</t>
        </is>
      </c>
      <c r="K99" s="4" t="inlineStr">
        <is>
          <t>in_stock/total_in_stock/stock_item_count equal  (INCONSISTENCY: null vs 0)</t>
        </is>
      </c>
      <c r="L99" s="10" t="n"/>
      <c r="M99" s="10" t="inlineStr">
        <is>
          <t>Not Run</t>
        </is>
      </c>
      <c r="N99" s="4" t="inlineStr">
        <is>
          <t>DEV-02: POST returns null computed fields</t>
        </is>
      </c>
    </row>
  </sheetData>
  <conditionalFormatting sqref="M2:M99">
    <cfRule type="cellIs" priority="2" operator="equal" dxfId="2">
      <formula>"Pass"</formula>
    </cfRule>
    <cfRule type="cellIs" priority="3" operator="equal" dxfId="1">
      <formula>"Blocked"</formula>
    </cfRule>
    <cfRule type="cellIs" priority="4" operator="equal" dxfId="0">
      <formula>"Fail"</formula>
    </cfRule>
  </conditionalFormatting>
  <dataValidations count="1">
    <dataValidation sqref="M2:M99" showDropDown="0" showInputMessage="0" showErrorMessage="0" allowBlank="1" type="list">
      <formula1>"Not Run,Pass,Fail,Blocked"</formula1>
      <formula2>0</formula2>
    </dataValidation>
  </dataValidations>
  <pageMargins left="0.75" right="0.75" top="1" bottom="1" header="0.511811023622047" footer="0.511811023622047"/>
  <pageSetup orientation="landscape" fitToHeight="0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zoomScaleNormal="100" workbookViewId="0">
      <selection activeCell="A1" sqref="A1"/>
    </sheetView>
  </sheetViews>
  <sheetFormatPr baseColWidth="10" defaultColWidth="8.6640625" defaultRowHeight="15"/>
  <cols>
    <col width="34" customWidth="1" min="1" max="1"/>
    <col width="26" customWidth="1" min="2" max="2"/>
    <col width="9" customWidth="1" min="3" max="3"/>
    <col width="40" customWidth="1" min="4" max="4"/>
    <col width="70" customWidth="1" min="5" max="5"/>
  </cols>
  <sheetData>
    <row r="1" ht="18" customHeight="1">
      <c r="A1" s="1" t="inlineStr">
        <is>
          <t>Schema analysis – endpoint inventory (Parts &amp; Part Categories)</t>
        </is>
      </c>
    </row>
    <row r="3">
      <c r="A3" s="3" t="inlineStr">
        <is>
          <t>Endpoint</t>
        </is>
      </c>
      <c r="B3" s="3" t="inlineStr">
        <is>
          <t>Methods</t>
        </is>
      </c>
      <c r="C3" s="3" t="inlineStr">
        <is>
          <t>In scope</t>
        </is>
      </c>
      <c r="D3" s="3" t="inlineStr">
        <is>
          <t>Purpose</t>
        </is>
      </c>
      <c r="E3" s="3" t="inlineStr">
        <is>
          <t>Key behaviours derived from schema / server</t>
        </is>
      </c>
    </row>
    <row r="4" ht="26" customHeight="1">
      <c r="A4" s="4" t="inlineStr">
        <is>
          <t>/api/part/</t>
        </is>
      </c>
      <c r="B4" s="4" t="inlineStr">
        <is>
          <t>GET, POST, PATCH, PUT</t>
        </is>
      </c>
      <c r="C4" s="4" t="inlineStr">
        <is>
          <t>Yes</t>
        </is>
      </c>
      <c r="D4" s="4" t="inlineStr">
        <is>
          <t>List / create parts; bulk PATCH/PUT</t>
        </is>
      </c>
      <c r="E4" s="4" t="inlineStr">
        <is>
          <t>Paginated via limit/offset (array when limit omitted); ~50 filters; search over IPN, category name, description, keywords, MPN, name, revision, SKU, tags</t>
        </is>
      </c>
    </row>
    <row r="5">
      <c r="A5" s="4" t="inlineStr">
        <is>
          <t>/api/part/{id}/</t>
        </is>
      </c>
      <c r="B5" s="4" t="inlineStr">
        <is>
          <t>GET, PATCH, PUT, DELETE</t>
        </is>
      </c>
      <c r="C5" s="4" t="inlineStr">
        <is>
          <t>Yes</t>
        </is>
      </c>
      <c r="D5" s="4" t="inlineStr">
        <is>
          <t>Retrieve / update / delete a part</t>
        </is>
      </c>
      <c r="E5" s="4" t="inlineStr">
        <is>
          <t>DELETE blocked for active or locked parts, or parts used in an assembly</t>
        </is>
      </c>
    </row>
    <row r="6">
      <c r="A6" s="4" t="inlineStr">
        <is>
          <t>/api/part/category/</t>
        </is>
      </c>
      <c r="B6" s="4" t="inlineStr">
        <is>
          <t>GET, POST, PATCH, PUT</t>
        </is>
      </c>
      <c r="C6" s="4" t="inlineStr">
        <is>
          <t>Yes</t>
        </is>
      </c>
      <c r="D6" s="4" t="inlineStr">
        <is>
          <t>List / create categories</t>
        </is>
      </c>
      <c r="E6" s="4" t="inlineStr">
        <is>
          <t>Filters: parent, structural, search; paginated</t>
        </is>
      </c>
    </row>
    <row r="7" ht="26" customHeight="1">
      <c r="A7" s="4" t="inlineStr">
        <is>
          <t>/api/part/category/{id}/</t>
        </is>
      </c>
      <c r="B7" s="4" t="inlineStr">
        <is>
          <t>GET, PATCH, PUT, DELETE</t>
        </is>
      </c>
      <c r="C7" s="4" t="inlineStr">
        <is>
          <t>Yes</t>
        </is>
      </c>
      <c r="D7" s="4" t="inlineStr">
        <is>
          <t>Retrieve / update / delete a category</t>
        </is>
      </c>
      <c r="E7" s="4" t="inlineStr">
        <is>
          <t>DELETE requires body {delete_parts, delete_child_categories} (not in spec); default re-parents children and parts</t>
        </is>
      </c>
    </row>
    <row r="8">
      <c r="A8" s="4" t="inlineStr">
        <is>
          <t>/api/part/category/tree/</t>
        </is>
      </c>
      <c r="B8" s="4" t="inlineStr">
        <is>
          <t>GET</t>
        </is>
      </c>
      <c r="C8" s="4" t="inlineStr">
        <is>
          <t>Yes</t>
        </is>
      </c>
      <c r="D8" s="4" t="inlineStr">
        <is>
          <t>Flat tree listing</t>
        </is>
      </c>
      <c r="E8" s="4" t="inlineStr">
        <is>
          <t>Used to verify hierarchy</t>
        </is>
      </c>
    </row>
    <row r="9">
      <c r="A9" s="4" t="inlineStr">
        <is>
          <t>/api/stock/location/</t>
        </is>
      </c>
      <c r="B9" s="4" t="inlineStr">
        <is>
          <t>GET, POST</t>
        </is>
      </c>
      <c r="C9" s="4" t="inlineStr">
        <is>
          <t>Supporting</t>
        </is>
      </c>
      <c r="D9" s="4" t="inlineStr">
        <is>
          <t>Default-location fixtures</t>
        </is>
      </c>
      <c r="E9" s="4" t="inlineStr">
        <is>
          <t>DELETE requires {delete_stock_items, delete_sub_locations}</t>
        </is>
      </c>
    </row>
    <row r="10" ht="26" customHeight="1">
      <c r="A10" s="4" t="inlineStr">
        <is>
          <t>/api/company/, /api/company/part/, /api/company/part/manufacturer/</t>
        </is>
      </c>
      <c r="B10" s="4" t="inlineStr">
        <is>
          <t>GET, POST</t>
        </is>
      </c>
      <c r="C10" s="4" t="inlineStr">
        <is>
          <t>Supporting</t>
        </is>
      </c>
      <c r="D10" s="4" t="inlineStr">
        <is>
          <t>Supplier linkage verification</t>
        </is>
      </c>
      <c r="E10" s="4" t="inlineStr">
        <is>
          <t>initial_supplier on part create spawns SupplierPart (+ ManufacturerPart)</t>
        </is>
      </c>
    </row>
    <row r="11">
      <c r="A11" s="4" t="inlineStr">
        <is>
          <t>/api/stock/</t>
        </is>
      </c>
      <c r="B11" s="4" t="inlineStr">
        <is>
          <t>GET</t>
        </is>
      </c>
      <c r="C11" s="4" t="inlineStr">
        <is>
          <t>Supporting</t>
        </is>
      </c>
      <c r="D11" s="4" t="inlineStr">
        <is>
          <t>initial_stock verification</t>
        </is>
      </c>
      <c r="E11" s="4" t="inlineStr">
        <is>
          <t>-</t>
        </is>
      </c>
    </row>
    <row r="12">
      <c r="A12" s="4" t="inlineStr">
        <is>
          <t>/api/user/token/</t>
        </is>
      </c>
      <c r="B12" s="4" t="inlineStr">
        <is>
          <t>GET</t>
        </is>
      </c>
      <c r="C12" s="4" t="inlineStr">
        <is>
          <t>Supporting</t>
        </is>
      </c>
      <c r="D12" s="4" t="inlineStr">
        <is>
          <t>Token exchange (basic auth)</t>
        </is>
      </c>
      <c r="E12" s="4" t="inlineStr">
        <is>
          <t>Auth header: 'Token &lt;key&gt;'</t>
        </is>
      </c>
    </row>
    <row r="13" ht="52" customHeight="1">
      <c r="A13" s="4" t="inlineStr">
        <is>
          <t>/api/part/category/parameters/, internal-price, sale-price, related, stocktake, test-template, thumbs, {id}/bom-*, pricing, requirements, serial-numbers</t>
        </is>
      </c>
      <c r="B13" s="4" t="inlineStr">
        <is>
          <t>various</t>
        </is>
      </c>
      <c r="C13" s="4" t="inlineStr">
        <is>
          <t>No</t>
        </is>
      </c>
      <c r="D13" s="4" t="inlineStr">
        <is>
          <t>Out of scope for this phase</t>
        </is>
      </c>
      <c r="E13" s="4" t="inlineStr">
        <is>
          <t>Candidate for next phase</t>
        </is>
      </c>
    </row>
    <row r="16">
      <c r="A16" s="7" t="inlineStr">
        <is>
          <t>Authentication schemes in spec: tokenAuth ('Token' prefix), basicAuth, cookieAuth, oauth2.</t>
        </is>
      </c>
    </row>
  </sheetData>
  <pageMargins left="0.75" right="0.75" top="1" bottom="1" header="0.511811023622047" footer="0.511811023622047"/>
  <pageSetup orientation="landscape" fitToHeight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zoomScaleNormal="100" workbookViewId="0">
      <selection activeCell="A1" sqref="A1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9" customWidth="1" min="4" max="4"/>
    <col width="10" customWidth="1" min="5" max="5"/>
    <col width="9" customWidth="1" min="6" max="7"/>
    <col width="10" customWidth="1" min="8" max="8"/>
    <col width="46" customWidth="1" min="9" max="9"/>
    <col width="30" customWidth="1" min="10" max="10"/>
  </cols>
  <sheetData>
    <row r="1" ht="18" customHeight="1">
      <c r="A1" s="1" t="inlineStr">
        <is>
          <t>Field constraint matrix (from OpenAPI v530, verified against live OPTIONS)</t>
        </is>
      </c>
    </row>
    <row r="3" ht="28" customHeight="1">
      <c r="A3" s="3" t="inlineStr">
        <is>
          <t>Resource</t>
        </is>
      </c>
      <c r="B3" s="3" t="inlineStr">
        <is>
          <t>Field</t>
        </is>
      </c>
      <c r="C3" s="3" t="inlineStr">
        <is>
          <t>Type</t>
        </is>
      </c>
      <c r="D3" s="3" t="inlineStr">
        <is>
          <t>Required</t>
        </is>
      </c>
      <c r="E3" s="3" t="inlineStr">
        <is>
          <t>Max length</t>
        </is>
      </c>
      <c r="F3" s="3" t="inlineStr">
        <is>
          <t>Nullable</t>
        </is>
      </c>
      <c r="G3" s="3" t="inlineStr">
        <is>
          <t>Read-only</t>
        </is>
      </c>
      <c r="H3" s="3" t="inlineStr">
        <is>
          <t>Write-only</t>
        </is>
      </c>
      <c r="I3" s="3" t="inlineStr">
        <is>
          <t>Other rules</t>
        </is>
      </c>
      <c r="J3" s="3" t="inlineStr">
        <is>
          <t>Covered by</t>
        </is>
      </c>
    </row>
    <row r="4">
      <c r="A4" s="4" t="inlineStr">
        <is>
          <t>Part</t>
        </is>
      </c>
      <c r="B4" s="4" t="inlineStr">
        <is>
          <t>name</t>
        </is>
      </c>
      <c r="C4" s="4" t="inlineStr">
        <is>
          <t>string</t>
        </is>
      </c>
      <c r="D4" s="4" t="inlineStr">
        <is>
          <t>Yes</t>
        </is>
      </c>
      <c r="E4" s="4" t="n">
        <v>100</v>
      </c>
      <c r="F4" s="4" t="inlineStr">
        <is>
          <t>No</t>
        </is>
      </c>
      <c r="G4" s="4" t="inlineStr">
        <is>
          <t>No</t>
        </is>
      </c>
      <c r="H4" s="4" t="inlineStr">
        <is>
          <t>No</t>
        </is>
      </c>
      <c r="I4" s="4" t="inlineStr">
        <is>
          <t>Unique with IPN + revision; HTML rejected</t>
        </is>
      </c>
      <c r="J4" s="4" t="inlineStr">
        <is>
          <t>API-VAL-001/004/005, API-REL-040</t>
        </is>
      </c>
    </row>
    <row r="5">
      <c r="A5" s="4" t="inlineStr">
        <is>
          <t>Part</t>
        </is>
      </c>
      <c r="B5" s="4" t="inlineStr">
        <is>
          <t>description</t>
        </is>
      </c>
      <c r="C5" s="4" t="inlineStr">
        <is>
          <t>string</t>
        </is>
      </c>
      <c r="D5" s="4" t="inlineStr">
        <is>
          <t>No</t>
        </is>
      </c>
      <c r="E5" s="4" t="n">
        <v>250</v>
      </c>
      <c r="F5" s="4" t="inlineStr">
        <is>
          <t>No</t>
        </is>
      </c>
      <c r="G5" s="4" t="inlineStr">
        <is>
          <t>No</t>
        </is>
      </c>
      <c r="H5" s="4" t="inlineStr">
        <is>
          <t>No</t>
        </is>
      </c>
      <c r="I5" s="4" t="inlineStr">
        <is>
          <t>HTML rejected</t>
        </is>
      </c>
      <c r="J5" s="4" t="inlineStr">
        <is>
          <t>API-VAL-007/053</t>
        </is>
      </c>
    </row>
    <row r="6">
      <c r="A6" s="4" t="inlineStr">
        <is>
          <t>Part</t>
        </is>
      </c>
      <c r="B6" s="4" t="inlineStr">
        <is>
          <t>IPN</t>
        </is>
      </c>
      <c r="C6" s="4" t="inlineStr">
        <is>
          <t>string</t>
        </is>
      </c>
      <c r="D6" s="4" t="inlineStr">
        <is>
          <t>No</t>
        </is>
      </c>
      <c r="E6" s="4" t="n">
        <v>100</v>
      </c>
      <c r="F6" s="4" t="inlineStr">
        <is>
          <t>No</t>
        </is>
      </c>
      <c r="G6" s="4" t="inlineStr">
        <is>
          <t>No</t>
        </is>
      </c>
      <c r="H6" s="4" t="inlineStr">
        <is>
          <t>No</t>
        </is>
      </c>
      <c r="I6" s="4" t="inlineStr">
        <is>
          <t>Duplicate IPN governed by PART_ALLOW_DUPLICATE_IPN</t>
        </is>
      </c>
      <c r="J6" s="4" t="inlineStr">
        <is>
          <t>API-VAL-009</t>
        </is>
      </c>
    </row>
    <row r="7">
      <c r="A7" s="4" t="inlineStr">
        <is>
          <t>Part</t>
        </is>
      </c>
      <c r="B7" s="4" t="inlineStr">
        <is>
          <t>revision</t>
        </is>
      </c>
      <c r="C7" s="4" t="inlineStr">
        <is>
          <t>string</t>
        </is>
      </c>
      <c r="D7" s="4" t="inlineStr">
        <is>
          <t>No</t>
        </is>
      </c>
      <c r="E7" s="4" t="n">
        <v>100</v>
      </c>
      <c r="F7" s="4" t="inlineStr">
        <is>
          <t>Yes</t>
        </is>
      </c>
      <c r="G7" s="4" t="inlineStr">
        <is>
          <t>No</t>
        </is>
      </c>
      <c r="H7" s="4" t="inlineStr">
        <is>
          <t>No</t>
        </is>
      </c>
      <c r="I7" s="4" t="n"/>
      <c r="J7" s="4" t="inlineStr">
        <is>
          <t>API-REL-040</t>
        </is>
      </c>
    </row>
    <row r="8">
      <c r="A8" s="4" t="inlineStr">
        <is>
          <t>Part</t>
        </is>
      </c>
      <c r="B8" s="4" t="inlineStr">
        <is>
          <t>keywords</t>
        </is>
      </c>
      <c r="C8" s="4" t="inlineStr">
        <is>
          <t>string</t>
        </is>
      </c>
      <c r="D8" s="4" t="inlineStr">
        <is>
          <t>No</t>
        </is>
      </c>
      <c r="E8" s="4" t="n">
        <v>250</v>
      </c>
      <c r="F8" s="4" t="inlineStr">
        <is>
          <t>Yes</t>
        </is>
      </c>
      <c r="G8" s="4" t="inlineStr">
        <is>
          <t>No</t>
        </is>
      </c>
      <c r="H8" s="4" t="inlineStr">
        <is>
          <t>No</t>
        </is>
      </c>
      <c r="I8" s="4" t="n"/>
      <c r="J8" s="4" t="inlineStr">
        <is>
          <t>API-VAL-026</t>
        </is>
      </c>
    </row>
    <row r="9">
      <c r="A9" s="4" t="inlineStr">
        <is>
          <t>Part</t>
        </is>
      </c>
      <c r="B9" s="4" t="inlineStr">
        <is>
          <t>units</t>
        </is>
      </c>
      <c r="C9" s="4" t="inlineStr">
        <is>
          <t>string</t>
        </is>
      </c>
      <c r="D9" s="4" t="inlineStr">
        <is>
          <t>No</t>
        </is>
      </c>
      <c r="E9" s="4" t="n">
        <v>20</v>
      </c>
      <c r="F9" s="4" t="inlineStr">
        <is>
          <t>Yes</t>
        </is>
      </c>
      <c r="G9" s="4" t="inlineStr">
        <is>
          <t>No</t>
        </is>
      </c>
      <c r="H9" s="4" t="inlineStr">
        <is>
          <t>No</t>
        </is>
      </c>
      <c r="I9" s="4" t="inlineStr">
        <is>
          <t>Must be a valid physical unit (pint)</t>
        </is>
      </c>
      <c r="J9" s="4" t="inlineStr">
        <is>
          <t>API-VAL-016/026</t>
        </is>
      </c>
    </row>
    <row r="10">
      <c r="A10" s="4" t="inlineStr">
        <is>
          <t>Part</t>
        </is>
      </c>
      <c r="B10" s="4" t="inlineStr">
        <is>
          <t>link</t>
        </is>
      </c>
      <c r="C10" s="4" t="inlineStr">
        <is>
          <t>uri</t>
        </is>
      </c>
      <c r="D10" s="4" t="inlineStr">
        <is>
          <t>No</t>
        </is>
      </c>
      <c r="E10" s="4" t="n">
        <v>2000</v>
      </c>
      <c r="F10" s="4" t="inlineStr">
        <is>
          <t>Yes</t>
        </is>
      </c>
      <c r="G10" s="4" t="inlineStr">
        <is>
          <t>No</t>
        </is>
      </c>
      <c r="H10" s="4" t="inlineStr">
        <is>
          <t>No</t>
        </is>
      </c>
      <c r="I10" s="4" t="inlineStr">
        <is>
          <t>Must be a URL</t>
        </is>
      </c>
      <c r="J10" s="4" t="inlineStr">
        <is>
          <t>API-VAL-018/026</t>
        </is>
      </c>
    </row>
    <row r="11" ht="26" customHeight="1">
      <c r="A11" s="4" t="inlineStr">
        <is>
          <t>Part</t>
        </is>
      </c>
      <c r="B11" s="4" t="inlineStr">
        <is>
          <t>notes</t>
        </is>
      </c>
      <c r="C11" s="4" t="inlineStr">
        <is>
          <t>string (markdown)</t>
        </is>
      </c>
      <c r="D11" s="4" t="inlineStr">
        <is>
          <t>No</t>
        </is>
      </c>
      <c r="E11" s="4" t="n">
        <v>50000</v>
      </c>
      <c r="F11" s="4" t="inlineStr">
        <is>
          <t>Yes</t>
        </is>
      </c>
      <c r="G11" s="4" t="inlineStr">
        <is>
          <t>No</t>
        </is>
      </c>
      <c r="H11" s="4" t="inlineStr">
        <is>
          <t>No</t>
        </is>
      </c>
      <c r="I11" s="4" t="n"/>
      <c r="J11" s="4" t="inlineStr">
        <is>
          <t>-</t>
        </is>
      </c>
    </row>
    <row r="12">
      <c r="A12" s="4" t="inlineStr">
        <is>
          <t>Part</t>
        </is>
      </c>
      <c r="B12" s="4" t="inlineStr">
        <is>
          <t>category</t>
        </is>
      </c>
      <c r="C12" s="4" t="inlineStr">
        <is>
          <t>integer FK</t>
        </is>
      </c>
      <c r="D12" s="4" t="inlineStr">
        <is>
          <t>No</t>
        </is>
      </c>
      <c r="E12" s="4" t="inlineStr">
        <is>
          <t>-</t>
        </is>
      </c>
      <c r="F12" s="4" t="inlineStr">
        <is>
          <t>Yes</t>
        </is>
      </c>
      <c r="G12" s="4" t="inlineStr">
        <is>
          <t>No</t>
        </is>
      </c>
      <c r="H12" s="4" t="inlineStr">
        <is>
          <t>No</t>
        </is>
      </c>
      <c r="I12" s="4" t="inlineStr">
        <is>
          <t>Not structural; must exist</t>
        </is>
      </c>
      <c r="J12" s="4" t="inlineStr">
        <is>
          <t>API-VAL-024/026, API-REL-001/002/005</t>
        </is>
      </c>
    </row>
    <row r="13">
      <c r="A13" s="4" t="inlineStr">
        <is>
          <t>Part</t>
        </is>
      </c>
      <c r="B13" s="4" t="inlineStr">
        <is>
          <t>default_location</t>
        </is>
      </c>
      <c r="C13" s="4" t="inlineStr">
        <is>
          <t>integer FK</t>
        </is>
      </c>
      <c r="D13" s="4" t="inlineStr">
        <is>
          <t>No</t>
        </is>
      </c>
      <c r="E13" s="4" t="inlineStr">
        <is>
          <t>-</t>
        </is>
      </c>
      <c r="F13" s="4" t="inlineStr">
        <is>
          <t>Yes</t>
        </is>
      </c>
      <c r="G13" s="4" t="inlineStr">
        <is>
          <t>No</t>
        </is>
      </c>
      <c r="H13" s="4" t="inlineStr">
        <is>
          <t>No</t>
        </is>
      </c>
      <c r="I13" s="4" t="inlineStr">
        <is>
          <t>SET_NULL on location delete</t>
        </is>
      </c>
      <c r="J13" s="4" t="inlineStr">
        <is>
          <t>API-REL-020/021</t>
        </is>
      </c>
    </row>
    <row r="14">
      <c r="A14" s="4" t="inlineStr">
        <is>
          <t>Part</t>
        </is>
      </c>
      <c r="B14" s="4" t="inlineStr">
        <is>
          <t>default_expiry</t>
        </is>
      </c>
      <c r="C14" s="4" t="inlineStr">
        <is>
          <t>int64</t>
        </is>
      </c>
      <c r="D14" s="4" t="inlineStr">
        <is>
          <t>No</t>
        </is>
      </c>
      <c r="E14" s="4" t="inlineStr">
        <is>
          <t>-</t>
        </is>
      </c>
      <c r="F14" s="4" t="inlineStr">
        <is>
          <t>No</t>
        </is>
      </c>
      <c r="G14" s="4" t="inlineStr">
        <is>
          <t>No</t>
        </is>
      </c>
      <c r="H14" s="4" t="inlineStr">
        <is>
          <t>No</t>
        </is>
      </c>
      <c r="I14" s="4" t="inlineStr">
        <is>
          <t>minimum 0</t>
        </is>
      </c>
      <c r="J14" s="4" t="inlineStr">
        <is>
          <t>API-VAL-020</t>
        </is>
      </c>
    </row>
    <row r="15">
      <c r="A15" s="4" t="inlineStr">
        <is>
          <t>Part</t>
        </is>
      </c>
      <c r="B15" s="4" t="inlineStr">
        <is>
          <t>minimum_stock</t>
        </is>
      </c>
      <c r="C15" s="4" t="inlineStr">
        <is>
          <t>double</t>
        </is>
      </c>
      <c r="D15" s="4" t="inlineStr">
        <is>
          <t>No</t>
        </is>
      </c>
      <c r="E15" s="4" t="inlineStr">
        <is>
          <t>-</t>
        </is>
      </c>
      <c r="F15" s="4" t="inlineStr">
        <is>
          <t>No</t>
        </is>
      </c>
      <c r="G15" s="4" t="inlineStr">
        <is>
          <t>No</t>
        </is>
      </c>
      <c r="H15" s="4" t="inlineStr">
        <is>
          <t>No</t>
        </is>
      </c>
      <c r="I15" s="4" t="inlineStr">
        <is>
          <t>≥ 0</t>
        </is>
      </c>
      <c r="J15" s="4" t="inlineStr">
        <is>
          <t>-</t>
        </is>
      </c>
    </row>
    <row r="16" ht="26" customHeight="1">
      <c r="A16" s="4" t="inlineStr">
        <is>
          <t>Part</t>
        </is>
      </c>
      <c r="B16" s="4" t="inlineStr">
        <is>
          <t>active / assembly / component / … flags</t>
        </is>
      </c>
      <c r="C16" s="4" t="inlineStr">
        <is>
          <t>boolean</t>
        </is>
      </c>
      <c r="D16" s="4" t="inlineStr">
        <is>
          <t>No</t>
        </is>
      </c>
      <c r="E16" s="4" t="inlineStr">
        <is>
          <t>-</t>
        </is>
      </c>
      <c r="F16" s="4" t="inlineStr">
        <is>
          <t>No</t>
        </is>
      </c>
      <c r="G16" s="4" t="inlineStr">
        <is>
          <t>No</t>
        </is>
      </c>
      <c r="H16" s="4" t="inlineStr">
        <is>
          <t>No</t>
        </is>
      </c>
      <c r="I16" s="4" t="n"/>
      <c r="J16" s="4" t="inlineStr">
        <is>
          <t>API-PART-008</t>
        </is>
      </c>
    </row>
    <row r="17">
      <c r="A17" s="4" t="inlineStr">
        <is>
          <t>Part</t>
        </is>
      </c>
      <c r="B17" s="4" t="inlineStr">
        <is>
          <t>variant_of / revision_of</t>
        </is>
      </c>
      <c r="C17" s="4" t="inlineStr">
        <is>
          <t>integer FK</t>
        </is>
      </c>
      <c r="D17" s="4" t="inlineStr">
        <is>
          <t>No</t>
        </is>
      </c>
      <c r="E17" s="4" t="inlineStr">
        <is>
          <t>-</t>
        </is>
      </c>
      <c r="F17" s="4" t="inlineStr">
        <is>
          <t>Yes</t>
        </is>
      </c>
      <c r="G17" s="4" t="inlineStr">
        <is>
          <t>No</t>
        </is>
      </c>
      <c r="H17" s="4" t="inlineStr">
        <is>
          <t>No</t>
        </is>
      </c>
      <c r="I17" s="4" t="n"/>
      <c r="J17" s="4" t="inlineStr">
        <is>
          <t>-</t>
        </is>
      </c>
    </row>
    <row r="18" ht="65" customHeight="1">
      <c r="A18" s="4" t="inlineStr">
        <is>
          <t>Part</t>
        </is>
      </c>
      <c r="B18" s="4" t="inlineStr">
        <is>
          <t>pk, full_name, barcode_hash, creation_date, in_stock, total_in_stock, stock_item_count, category_name, …</t>
        </is>
      </c>
      <c r="C18" s="4" t="inlineStr">
        <is>
          <t>various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Yes</t>
        </is>
      </c>
      <c r="H18" s="4" t="inlineStr">
        <is>
          <t>No</t>
        </is>
      </c>
      <c r="I18" s="4" t="inlineStr">
        <is>
          <t>Server-derived</t>
        </is>
      </c>
      <c r="J18" s="4" t="inlineStr">
        <is>
          <t>API-RO-001</t>
        </is>
      </c>
    </row>
    <row r="19" ht="39" customHeight="1">
      <c r="A19" s="4" t="inlineStr">
        <is>
          <t>Part</t>
        </is>
      </c>
      <c r="B19" s="4" t="inlineStr">
        <is>
          <t>initial_stock</t>
        </is>
      </c>
      <c r="C19" s="4" t="inlineStr">
        <is>
          <t>object {quantity, location}</t>
        </is>
      </c>
      <c r="D19" s="4" t="inlineStr">
        <is>
          <t>No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No</t>
        </is>
      </c>
      <c r="H19" s="4" t="inlineStr">
        <is>
          <t>Yes</t>
        </is>
      </c>
      <c r="I19" s="4" t="inlineStr">
        <is>
          <t>quantity required inside object</t>
        </is>
      </c>
      <c r="J19" s="4" t="inlineStr">
        <is>
          <t>API-REL-024</t>
        </is>
      </c>
    </row>
    <row r="20" ht="52" customHeight="1">
      <c r="A20" s="4" t="inlineStr">
        <is>
          <t>Part</t>
        </is>
      </c>
      <c r="B20" s="4" t="inlineStr">
        <is>
          <t>initial_supplier</t>
        </is>
      </c>
      <c r="C20" s="4" t="inlineStr">
        <is>
          <t>object {supplier, sku, manufacturer, mpn}</t>
        </is>
      </c>
      <c r="D20" s="4" t="inlineStr">
        <is>
          <t>No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No</t>
        </is>
      </c>
      <c r="H20" s="4" t="inlineStr">
        <is>
          <t>Yes</t>
        </is>
      </c>
      <c r="I20" s="4" t="inlineStr">
        <is>
          <t>supplier must be is_supplier; SKU/MPN unique</t>
        </is>
      </c>
      <c r="J20" s="4" t="inlineStr">
        <is>
          <t>API-REL-030/031</t>
        </is>
      </c>
    </row>
    <row r="21" ht="26" customHeight="1">
      <c r="A21" s="4" t="inlineStr">
        <is>
          <t>Part</t>
        </is>
      </c>
      <c r="B21" s="4" t="inlineStr">
        <is>
          <t>copy_category_parameters, duplicate, existing_image</t>
        </is>
      </c>
      <c r="C21" s="4" t="inlineStr">
        <is>
          <t>various</t>
        </is>
      </c>
      <c r="D21" s="4" t="inlineStr">
        <is>
          <t>No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No</t>
        </is>
      </c>
      <c r="H21" s="4" t="inlineStr">
        <is>
          <t>Yes</t>
        </is>
      </c>
      <c r="I21" s="4" t="n"/>
      <c r="J21" s="4" t="inlineStr">
        <is>
          <t>-</t>
        </is>
      </c>
    </row>
    <row r="22">
      <c r="A22" s="4" t="inlineStr">
        <is>
          <t>Category</t>
        </is>
      </c>
      <c r="B22" s="4" t="inlineStr">
        <is>
          <t>name</t>
        </is>
      </c>
      <c r="C22" s="4" t="inlineStr">
        <is>
          <t>string</t>
        </is>
      </c>
      <c r="D22" s="4" t="inlineStr">
        <is>
          <t>Yes</t>
        </is>
      </c>
      <c r="E22" s="4" t="n">
        <v>100</v>
      </c>
      <c r="F22" s="4" t="inlineStr">
        <is>
          <t>No</t>
        </is>
      </c>
      <c r="G22" s="4" t="inlineStr">
        <is>
          <t>No</t>
        </is>
      </c>
      <c r="H22" s="4" t="inlineStr">
        <is>
          <t>No</t>
        </is>
      </c>
      <c r="I22" s="4" t="inlineStr">
        <is>
          <t>Unique per parent</t>
        </is>
      </c>
      <c r="J22" s="4" t="inlineStr">
        <is>
          <t>API-CVAL-001/004, API-REL-009</t>
        </is>
      </c>
    </row>
    <row r="23">
      <c r="A23" s="4" t="inlineStr">
        <is>
          <t>Category</t>
        </is>
      </c>
      <c r="B23" s="4" t="inlineStr">
        <is>
          <t>description</t>
        </is>
      </c>
      <c r="C23" s="4" t="inlineStr">
        <is>
          <t>string</t>
        </is>
      </c>
      <c r="D23" s="4" t="inlineStr">
        <is>
          <t>No</t>
        </is>
      </c>
      <c r="E23" s="4" t="n">
        <v>250</v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n"/>
      <c r="J23" s="4" t="inlineStr">
        <is>
          <t>-</t>
        </is>
      </c>
    </row>
    <row r="24">
      <c r="A24" s="4" t="inlineStr">
        <is>
          <t>Category</t>
        </is>
      </c>
      <c r="B24" s="4" t="inlineStr">
        <is>
          <t>parent</t>
        </is>
      </c>
      <c r="C24" s="4" t="inlineStr">
        <is>
          <t>integer FK</t>
        </is>
      </c>
      <c r="D24" s="4" t="inlineStr">
        <is>
          <t>No</t>
        </is>
      </c>
      <c r="E24" s="4" t="inlineStr">
        <is>
          <t>-</t>
        </is>
      </c>
      <c r="F24" s="4" t="inlineStr">
        <is>
          <t>Yes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No self-reference or cycles</t>
        </is>
      </c>
      <c r="J24" s="4" t="inlineStr">
        <is>
          <t>API-CVAL-007, API-REL-008</t>
        </is>
      </c>
    </row>
    <row r="25">
      <c r="A25" s="4" t="inlineStr">
        <is>
          <t>Category</t>
        </is>
      </c>
      <c r="B25" s="4" t="inlineStr">
        <is>
          <t>structural</t>
        </is>
      </c>
      <c r="C25" s="4" t="inlineStr">
        <is>
          <t>boolean</t>
        </is>
      </c>
      <c r="D25" s="4" t="inlineStr">
        <is>
          <t>No</t>
        </is>
      </c>
      <c r="E25" s="4" t="inlineStr">
        <is>
          <t>-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Cannot be set while parts are assigned</t>
        </is>
      </c>
      <c r="J25" s="4" t="inlineStr">
        <is>
          <t>API-REL-005</t>
        </is>
      </c>
    </row>
    <row r="26">
      <c r="A26" s="4" t="inlineStr">
        <is>
          <t>Category</t>
        </is>
      </c>
      <c r="B26" s="4" t="inlineStr">
        <is>
          <t>default_location</t>
        </is>
      </c>
      <c r="C26" s="4" t="inlineStr">
        <is>
          <t>integer FK</t>
        </is>
      </c>
      <c r="D26" s="4" t="inlineStr">
        <is>
          <t>No</t>
        </is>
      </c>
      <c r="E26" s="4" t="inlineStr">
        <is>
          <t>-</t>
        </is>
      </c>
      <c r="F26" s="4" t="inlineStr">
        <is>
          <t>Yes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Inherited by sub-categories</t>
        </is>
      </c>
      <c r="J26" s="4" t="inlineStr">
        <is>
          <t>API-REL-021/026</t>
        </is>
      </c>
    </row>
    <row r="27" ht="26" customHeight="1">
      <c r="A27" s="4" t="inlineStr">
        <is>
          <t>Category</t>
        </is>
      </c>
      <c r="B27" s="4" t="inlineStr">
        <is>
          <t>pk, level, pathstring, part_count, subcategories</t>
        </is>
      </c>
      <c r="C27" s="4" t="inlineStr">
        <is>
          <t>various</t>
        </is>
      </c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Yes</t>
        </is>
      </c>
      <c r="H27" s="4" t="inlineStr">
        <is>
          <t>No</t>
        </is>
      </c>
      <c r="I27" s="4" t="n"/>
      <c r="J27" s="4" t="inlineStr">
        <is>
          <t>API-RO-010</t>
        </is>
      </c>
    </row>
  </sheetData>
  <pageMargins left="0.75" right="0.75" top="1" bottom="1" header="0.511811023622047" footer="0.511811023622047"/>
  <pageSetup orientation="landscape" fitToHeight="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zoomScaleNormal="100" workbookViewId="0">
      <selection activeCell="A1" sqref="A1"/>
    </sheetView>
  </sheetViews>
  <sheetFormatPr baseColWidth="10" defaultColWidth="8.6640625" defaultRowHeight="15"/>
  <cols>
    <col width="8" customWidth="1" min="1" max="1"/>
    <col width="14" customWidth="1" min="2" max="2"/>
    <col width="9" customWidth="1" min="3" max="3"/>
    <col width="36" customWidth="1" min="4" max="4"/>
    <col width="46.1640625" customWidth="1" min="5" max="5"/>
    <col width="26" customWidth="1" min="6" max="6"/>
    <col width="30" customWidth="1" min="7" max="7"/>
    <col width="50" customWidth="1" min="8" max="8"/>
    <col width="13" customWidth="1" min="9" max="9"/>
  </cols>
  <sheetData>
    <row r="1" ht="18" customHeight="1">
      <c r="A1" s="1" t="inlineStr">
        <is>
          <t>Defects and specification deviations observed on InvenTree 1.5.5 (API v530)</t>
        </is>
      </c>
    </row>
    <row r="3">
      <c r="A3" s="3" t="inlineStr">
        <is>
          <t>ID</t>
        </is>
      </c>
      <c r="B3" s="3" t="inlineStr">
        <is>
          <t>Type</t>
        </is>
      </c>
      <c r="C3" s="3" t="inlineStr">
        <is>
          <t>Severity</t>
        </is>
      </c>
      <c r="D3" s="3" t="inlineStr">
        <is>
          <t>Title</t>
        </is>
      </c>
      <c r="E3" s="3" t="inlineStr">
        <is>
          <t>Steps to reproduce</t>
        </is>
      </c>
      <c r="F3" s="3" t="inlineStr">
        <is>
          <t>Expected</t>
        </is>
      </c>
      <c r="G3" s="3" t="inlineStr">
        <is>
          <t>Actual</t>
        </is>
      </c>
      <c r="H3" s="3" t="inlineStr">
        <is>
          <t>Evidence / root cause</t>
        </is>
      </c>
      <c r="I3" s="3" t="inlineStr">
        <is>
          <t>Linked TC</t>
        </is>
      </c>
    </row>
    <row r="4" ht="26" customHeight="1">
      <c r="A4" s="4" t="inlineStr">
        <is>
          <t>DEF-01</t>
        </is>
      </c>
      <c r="B4" s="4" t="inlineStr">
        <is>
          <t>Defect</t>
        </is>
      </c>
      <c r="C4" s="4" t="inlineStr">
        <is>
          <t>Medium</t>
        </is>
      </c>
      <c r="D4" s="4" t="inlineStr">
        <is>
          <t>Non-object JSON body on POST /api/part/ causes HTTP 500</t>
        </is>
      </c>
      <c r="E4" s="4" t="inlineStr">
        <is>
          <t>POST /api/part/ with body [] or "str" or 42 (Content-Type: application/json)</t>
        </is>
      </c>
      <c r="F4" s="4" t="inlineStr">
        <is>
          <t>400 Bad Request with validation message</t>
        </is>
      </c>
      <c r="G4" s="4" t="inlineStr">
        <is>
          <t>500 Internal Server Error: AttributeError '&lt;type&gt;' object has no attribute 'items'</t>
        </is>
      </c>
      <c r="H4" s="4" t="inlineStr">
        <is>
          <t>Unhandled type in request-data cleaning before serializer validation</t>
        </is>
      </c>
      <c r="I4" s="4" t="inlineStr">
        <is>
          <t>API-EDGE-012</t>
        </is>
      </c>
    </row>
    <row r="5" ht="52" customHeight="1">
      <c r="A5" s="4" t="inlineStr">
        <is>
          <t>DEF-02</t>
        </is>
      </c>
      <c r="B5" s="4" t="inlineStr">
        <is>
          <t>Defect</t>
        </is>
      </c>
      <c r="C5" s="4" t="inlineStr">
        <is>
          <t>Low</t>
        </is>
      </c>
      <c r="D5" s="4" t="inlineStr">
        <is>
          <t>Part.category_default_location ignores default set on a top-level ancestor</t>
        </is>
      </c>
      <c r="E5" s="4" t="inlineStr">
        <is>
          <t>1. Category TOP (no parent) with default_location L
2. Child category under TOP
3. Part in child
4. GET part</t>
        </is>
      </c>
      <c r="F5" s="4" t="inlineStr">
        <is>
          <t>category_default_location = L (as Part.get_default_location() returns)</t>
        </is>
      </c>
      <c r="G5" s="4" t="inlineStr">
        <is>
          <t>null</t>
        </is>
      </c>
      <c r="H5" s="4" t="inlineStr">
        <is>
          <t>part/filters.py annotate_default_location(): ancestor subquery filters parent__isnull=False, excluding the root node</t>
        </is>
      </c>
      <c r="I5" s="4" t="inlineStr">
        <is>
          <t>API-REL-026</t>
        </is>
      </c>
    </row>
    <row r="6" ht="26" customHeight="1">
      <c r="A6" s="4" t="inlineStr">
        <is>
          <t>DEV-01</t>
        </is>
      </c>
      <c r="B6" s="4" t="inlineStr">
        <is>
          <t>Spec deviation</t>
        </is>
      </c>
      <c r="C6" s="4" t="inlineStr">
        <is>
          <t>Low</t>
        </is>
      </c>
      <c r="D6" s="4" t="inlineStr">
        <is>
          <t>category_name marked required in OpenAPI but omitted for uncategorised parts</t>
        </is>
      </c>
      <c r="E6" s="4" t="inlineStr">
        <is>
          <t>Create part with category=null; GET it</t>
        </is>
      </c>
      <c r="F6" s="4" t="inlineStr">
        <is>
          <t>category_name present (null or empty)</t>
        </is>
      </c>
      <c r="G6" s="4" t="inlineStr">
        <is>
          <t>Key absent</t>
        </is>
      </c>
      <c r="H6" s="4" t="inlineStr">
        <is>
          <t>Breaks strict schema-generated clients</t>
        </is>
      </c>
      <c r="I6" s="4" t="inlineStr">
        <is>
          <t>API-CON-003</t>
        </is>
      </c>
    </row>
    <row r="7" ht="39" customHeight="1">
      <c r="A7" s="4" t="inlineStr">
        <is>
          <t>DEV-02</t>
        </is>
      </c>
      <c r="B7" s="4" t="inlineStr">
        <is>
          <t>Inconsistency</t>
        </is>
      </c>
      <c r="C7" s="4" t="inlineStr">
        <is>
          <t>Low</t>
        </is>
      </c>
      <c r="D7" s="4" t="inlineStr">
        <is>
          <t>POST 201 response returns null for computed stock fields</t>
        </is>
      </c>
      <c r="E7" s="4" t="inlineStr">
        <is>
          <t>POST /api/part/ then GET the same id</t>
        </is>
      </c>
      <c r="F7" s="4" t="inlineStr">
        <is>
          <t>Same values in both</t>
        </is>
      </c>
      <c r="G7" s="4" t="inlineStr">
        <is>
          <t>POST: in_stock/total_in_stock/stock_item_count = null; GET: 0</t>
        </is>
      </c>
      <c r="H7" s="4" t="inlineStr">
        <is>
          <t>Annotations not applied to the create response queryset</t>
        </is>
      </c>
      <c r="I7" s="4" t="inlineStr">
        <is>
          <t>API-CON-004</t>
        </is>
      </c>
    </row>
    <row r="8" ht="52" customHeight="1">
      <c r="A8" s="4" t="inlineStr">
        <is>
          <t>DEV-03</t>
        </is>
      </c>
      <c r="B8" s="4" t="inlineStr">
        <is>
          <t>Undocumented rule</t>
        </is>
      </c>
      <c r="C8" s="4" t="inlineStr">
        <is>
          <t>Info</t>
        </is>
      </c>
      <c r="D8" s="4" t="inlineStr">
        <is>
          <t>DELETE category / stock location requires cascade flags in the body</t>
        </is>
      </c>
      <c r="E8" s="4" t="inlineStr">
        <is>
          <t>DELETE /api/part/category/{id}/ with no body</t>
        </is>
      </c>
      <c r="F8" s="4" t="inlineStr">
        <is>
          <t>204 using documented defaults</t>
        </is>
      </c>
      <c r="G8" s="4" t="inlineStr">
        <is>
          <t>400: delete_parts and delete_child_categories are required. Also returns 400, not 404, for a non-existent id without a body</t>
        </is>
      </c>
      <c r="H8" s="4" t="inlineStr">
        <is>
          <t>CategoryDeleteSerializer is validated before the object lookup</t>
        </is>
      </c>
      <c r="I8" s="4" t="inlineStr">
        <is>
          <t>API-CAT-014</t>
        </is>
      </c>
    </row>
  </sheetData>
  <pageMargins left="0.75" right="0.75" top="1" bottom="1" header="0.511811023622047" footer="0.511811023622047"/>
  <pageSetup orientation="landscape" fitToHeight="0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zoomScaleNormal="100" workbookViewId="0">
      <selection activeCell="A1" sqref="A1"/>
    </sheetView>
  </sheetViews>
  <sheetFormatPr baseColWidth="10" defaultColWidth="8.6640625" defaultRowHeight="15"/>
  <cols>
    <col width="7" customWidth="1" min="1" max="1"/>
    <col width="60" customWidth="1" min="2" max="2"/>
    <col width="40" customWidth="1" min="3" max="3"/>
    <col width="11" customWidth="1" min="4" max="4"/>
  </cols>
  <sheetData>
    <row r="1" ht="18" customHeight="1">
      <c r="A1" s="1" t="inlineStr">
        <is>
          <t>Requirement → test case traceability (Phase 2 brief)</t>
        </is>
      </c>
    </row>
    <row r="3">
      <c r="A3" s="3" t="inlineStr">
        <is>
          <t>Req</t>
        </is>
      </c>
      <c r="B3" s="3" t="inlineStr">
        <is>
          <t>Requirement (from brief)</t>
        </is>
      </c>
      <c r="C3" s="3" t="inlineStr">
        <is>
          <t>TC ID prefixes</t>
        </is>
      </c>
      <c r="D3" s="3" t="inlineStr">
        <is>
          <t>Test cases</t>
        </is>
      </c>
    </row>
    <row r="4">
      <c r="A4" s="4" t="inlineStr">
        <is>
          <t>R1</t>
        </is>
      </c>
      <c r="B4" s="4" t="inlineStr">
        <is>
          <t>CRUD operations on Parts</t>
        </is>
      </c>
      <c r="C4" s="4" t="inlineStr">
        <is>
          <t>API-PART-*</t>
        </is>
      </c>
      <c r="D4" s="4">
        <f>COUNTIF('Test Cases'!$A:$A,"API-PART-*")</f>
        <v/>
      </c>
    </row>
    <row r="5">
      <c r="A5" s="4" t="inlineStr">
        <is>
          <t>R2</t>
        </is>
      </c>
      <c r="B5" s="4" t="inlineStr">
        <is>
          <t>CRUD operations on Part Categories</t>
        </is>
      </c>
      <c r="C5" s="4" t="inlineStr">
        <is>
          <t>API-CAT-*</t>
        </is>
      </c>
      <c r="D5" s="4">
        <f>COUNTIF('Test Cases'!$A:$A,"API-CAT-*")</f>
        <v/>
      </c>
    </row>
    <row r="6">
      <c r="A6" s="4" t="inlineStr">
        <is>
          <t>R3</t>
        </is>
      </c>
      <c r="B6" s="4" t="inlineStr">
        <is>
          <t>Filtering on the Parts list endpoint</t>
        </is>
      </c>
      <c r="C6" s="4" t="inlineStr">
        <is>
          <t>API-LIST-*, API-SORT-*</t>
        </is>
      </c>
      <c r="D6" s="4">
        <f>COUNTIF('Test Cases'!$A:$A,"API-LIST-*")+COUNTIF('Test Cases'!$A:$A,"API-SORT-*")</f>
        <v/>
      </c>
    </row>
    <row r="7">
      <c r="A7" s="4" t="inlineStr">
        <is>
          <t>R4</t>
        </is>
      </c>
      <c r="B7" s="4" t="inlineStr">
        <is>
          <t>Pagination on the Parts list endpoint</t>
        </is>
      </c>
      <c r="C7" s="4" t="inlineStr">
        <is>
          <t>API-PAGE-*</t>
        </is>
      </c>
      <c r="D7" s="4">
        <f>COUNTIF('Test Cases'!$A:$A,"API-PAGE-*")</f>
        <v/>
      </c>
    </row>
    <row r="8">
      <c r="A8" s="4" t="inlineStr">
        <is>
          <t>R5</t>
        </is>
      </c>
      <c r="B8" s="4" t="inlineStr">
        <is>
          <t>Search on the Parts list endpoint</t>
        </is>
      </c>
      <c r="C8" s="4" t="inlineStr">
        <is>
          <t>API-SRCH-*</t>
        </is>
      </c>
      <c r="D8" s="4">
        <f>COUNTIF('Test Cases'!$A:$A,"API-SRCH-*")</f>
        <v/>
      </c>
    </row>
    <row r="9">
      <c r="A9" s="4" t="inlineStr">
        <is>
          <t>R6</t>
        </is>
      </c>
      <c r="B9" s="4" t="inlineStr">
        <is>
          <t>Field-level validation: required, max length, nullable, read-only</t>
        </is>
      </c>
      <c r="C9" s="4" t="inlineStr">
        <is>
          <t>API-VAL-*, API-CVAL-*, API-RO-*, API-CON-*</t>
        </is>
      </c>
      <c r="D9" s="4">
        <f>COUNTIF('Test Cases'!$A:$A,"API-VAL-*")+COUNTIF('Test Cases'!$A:$A,"API-CVAL-*")+COUNTIF('Test Cases'!$A:$A,"API-RO-*")+COUNTIF('Test Cases'!$A:$A,"API-CON-*")</f>
        <v/>
      </c>
    </row>
    <row r="10">
      <c r="A10" s="4" t="inlineStr">
        <is>
          <t>R7</t>
        </is>
      </c>
      <c r="B10" s="4" t="inlineStr">
        <is>
          <t>Relational integrity: category assignment, default locations, supplier linkage</t>
        </is>
      </c>
      <c r="C10" s="4" t="inlineStr">
        <is>
          <t>API-REL-*</t>
        </is>
      </c>
      <c r="D10" s="4">
        <f>COUNTIF('Test Cases'!$A:$A,"API-REL-*")</f>
        <v/>
      </c>
    </row>
    <row r="11">
      <c r="A11" s="4" t="inlineStr">
        <is>
          <t>R8</t>
        </is>
      </c>
      <c r="B11" s="4" t="inlineStr">
        <is>
          <t>Edge cases: invalid payloads, unauthorised access, conflict scenarios</t>
        </is>
      </c>
      <c r="C11" s="4" t="inlineStr">
        <is>
          <t>API-SEC-*, API-EDGE-*</t>
        </is>
      </c>
      <c r="D11" s="4">
        <f>COUNTIF('Test Cases'!$A:$A,"API-SEC-*")+COUNTIF('Test Cases'!$A:$A,"API-EDGE-*")</f>
        <v/>
      </c>
    </row>
    <row r="13">
      <c r="A13" s="11" t="inlineStr">
        <is>
          <t>Conflict scenarios for R8 are covered by API-EDGE-030/031 plus API-REL-009 and API-REL-040 (counted under R7).</t>
        </is>
      </c>
    </row>
  </sheetData>
  <pageMargins left="0.75" right="0.75" top="1" bottom="1" header="0.511811023622047" footer="0.511811023622047"/>
  <pageSetup orientation="landscape" fitToHeight="0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55" customWidth="1" min="3" max="3"/>
    <col width="70" customWidth="1" min="4" max="4"/>
  </cols>
  <sheetData>
    <row r="1" ht="18" customHeight="1">
      <c r="A1" s="12" t="inlineStr">
        <is>
          <t>TC ID</t>
        </is>
      </c>
      <c r="B1" s="12" t="inlineStr">
        <is>
          <t>Automated</t>
        </is>
      </c>
      <c r="C1" s="12" t="inlineStr">
        <is>
          <t>Test Class.Method</t>
        </is>
      </c>
      <c r="D1" s="12" t="inlineStr">
        <is>
          <t>Coverage Note</t>
        </is>
      </c>
    </row>
    <row r="2">
      <c r="A2" s="13" t="inlineStr">
        <is>
          <t>API-PART-001</t>
        </is>
      </c>
      <c r="B2" s="13" t="inlineStr">
        <is>
          <t>Yes</t>
        </is>
      </c>
      <c r="C2" s="13" t="inlineStr">
        <is>
          <t>InvenTreePartE2ETest.apiPart001CreateMinimalPart</t>
        </is>
      </c>
      <c r="D2" s="14" t="inlineStr">
        <is>
          <t>Full match.</t>
        </is>
      </c>
    </row>
    <row r="3">
      <c r="A3" s="15" t="inlineStr">
        <is>
          <t>API-PART-002</t>
        </is>
      </c>
      <c r="B3" s="15" t="inlineStr">
        <is>
          <t>Partial</t>
        </is>
      </c>
      <c r="C3" s="15" t="inlineStr">
        <is>
          <t>InvenTreePartE2ETest.apiPart002CreatePartWithWritableAttributes</t>
        </is>
      </c>
      <c r="D3" s="16" t="inlineStr">
        <is>
          <t>Covers revision/keywords/units/description/notes/component/assembly/consumable/purchaseable/salable/trackable/testable + category/default_location. link, minimum_stock and default_expiry are not included in this payload.</t>
        </is>
      </c>
    </row>
    <row r="4">
      <c r="A4" s="13" t="inlineStr">
        <is>
          <t>API-PART-003</t>
        </is>
      </c>
      <c r="B4" s="13" t="inlineStr">
        <is>
          <t>Yes</t>
        </is>
      </c>
      <c r="C4" s="13" t="inlineStr">
        <is>
          <t>InvenTreePartE2ETest.apiPart003RetrievePartById</t>
        </is>
      </c>
      <c r="D4" s="14" t="inlineStr">
        <is>
          <t>Full match.</t>
        </is>
      </c>
    </row>
    <row r="5">
      <c r="A5" s="13" t="inlineStr">
        <is>
          <t>API-PART-004</t>
        </is>
      </c>
      <c r="B5" s="13" t="inlineStr">
        <is>
          <t>Yes</t>
        </is>
      </c>
      <c r="C5" s="13" t="inlineStr">
        <is>
          <t>InvenTreePartE2ETest.apiPart004RetrievePartWithDetailFlags</t>
        </is>
      </c>
      <c r="D5" s="14" t="inlineStr">
        <is>
          <t>Full match (category_detail + path_detail).</t>
        </is>
      </c>
    </row>
    <row r="6">
      <c r="A6" s="13" t="inlineStr">
        <is>
          <t>API-PART-005</t>
        </is>
      </c>
      <c r="B6" s="13" t="inlineStr">
        <is>
          <t>Yes</t>
        </is>
      </c>
      <c r="C6" s="13" t="inlineStr">
        <is>
          <t>InvenTreePartE2ETest.apiPart005PatchOnlySuppliedFields</t>
        </is>
      </c>
      <c r="D6" s="14" t="inlineStr">
        <is>
          <t>Full match.</t>
        </is>
      </c>
    </row>
    <row r="7">
      <c r="A7" s="13" t="inlineStr">
        <is>
          <t>API-PART-006</t>
        </is>
      </c>
      <c r="B7" s="13" t="inlineStr">
        <is>
          <t>Yes</t>
        </is>
      </c>
      <c r="C7" s="13" t="inlineStr">
        <is>
          <t>InvenTreePartE2ETest.apiPart006PutReplacement</t>
        </is>
      </c>
      <c r="D7" s="14" t="inlineStr">
        <is>
          <t>Full match.</t>
        </is>
      </c>
    </row>
    <row r="8">
      <c r="A8" s="13" t="inlineStr">
        <is>
          <t>API-PART-007</t>
        </is>
      </c>
      <c r="B8" s="13" t="inlineStr">
        <is>
          <t>Yes</t>
        </is>
      </c>
      <c r="C8" s="13" t="inlineStr">
        <is>
          <t>InvenTreePartE2ETest.apiPart007RejectPutWithoutName</t>
        </is>
      </c>
      <c r="D8" s="14" t="inlineStr">
        <is>
          <t>Full match.</t>
        </is>
      </c>
    </row>
    <row r="9">
      <c r="A9" s="17" t="inlineStr">
        <is>
          <t>API-PART-008</t>
        </is>
      </c>
      <c r="B9" s="17" t="inlineStr">
        <is>
          <t>No</t>
        </is>
      </c>
      <c r="C9" s="17" t="n"/>
      <c r="D9" s="18" t="n"/>
    </row>
    <row r="10">
      <c r="A10" s="13" t="inlineStr">
        <is>
          <t>API-PART-009</t>
        </is>
      </c>
      <c r="B10" s="13" t="inlineStr">
        <is>
          <t>Yes</t>
        </is>
      </c>
      <c r="C10" s="13" t="inlineStr">
        <is>
          <t>InvenTreePartE2ETest.apiPart009DeleteInactivePart</t>
        </is>
      </c>
      <c r="D10" s="14" t="inlineStr">
        <is>
          <t>Full match.</t>
        </is>
      </c>
    </row>
    <row r="11">
      <c r="A11" s="13" t="inlineStr">
        <is>
          <t>API-PART-010</t>
        </is>
      </c>
      <c r="B11" s="13" t="inlineStr">
        <is>
          <t>Yes</t>
        </is>
      </c>
      <c r="C11" s="13" t="inlineStr">
        <is>
          <t>InvenTreePartE2ETest.apiPart010BlockDeleteActivePart</t>
        </is>
      </c>
      <c r="D11" s="14" t="inlineStr">
        <is>
          <t>Full match.</t>
        </is>
      </c>
    </row>
    <row r="12">
      <c r="A12" s="13" t="inlineStr">
        <is>
          <t>API-PART-011</t>
        </is>
      </c>
      <c r="B12" s="13" t="inlineStr">
        <is>
          <t>Yes</t>
        </is>
      </c>
      <c r="C12" s="13" t="inlineStr">
        <is>
          <t>InvenTreePartE2ETest.apiPart011BlockDeleteLockedPart</t>
        </is>
      </c>
      <c r="D12" s="14" t="inlineStr">
        <is>
          <t>Full match.</t>
        </is>
      </c>
    </row>
    <row r="13">
      <c r="A13" s="17" t="inlineStr">
        <is>
          <t>API-PART-012</t>
        </is>
      </c>
      <c r="B13" s="17" t="inlineStr">
        <is>
          <t>No</t>
        </is>
      </c>
      <c r="C13" s="17" t="n"/>
      <c r="D13" s="18" t="n"/>
    </row>
    <row r="14">
      <c r="A14" s="13" t="inlineStr">
        <is>
          <t>API-CAT-001</t>
        </is>
      </c>
      <c r="B14" s="13" t="inlineStr">
        <is>
          <t>Yes</t>
        </is>
      </c>
      <c r="C14" s="13" t="inlineStr">
        <is>
          <t>InvenTreePartCategoryE2ETest.catCreateMinimal</t>
        </is>
      </c>
      <c r="D14" s="14" t="inlineStr">
        <is>
          <t>Full match.</t>
        </is>
      </c>
    </row>
    <row r="15">
      <c r="A15" s="15" t="inlineStr">
        <is>
          <t>API-CAT-002</t>
        </is>
      </c>
      <c r="B15" s="15" t="inlineStr">
        <is>
          <t>Partial</t>
        </is>
      </c>
      <c r="C15" s="15" t="inlineStr">
        <is>
          <t>InvenTreePartCategoryE2ETest.catCreateChildAndVerifyPath</t>
        </is>
      </c>
      <c r="D15" s="16" t="inlineStr">
        <is>
          <t>Only 2 levels tested (parent/child), not 3 (parent/child/grandchild); parent.subcategories count not verified.</t>
        </is>
      </c>
    </row>
    <row r="16">
      <c r="A16" s="13" t="inlineStr">
        <is>
          <t>API-CAT-003</t>
        </is>
      </c>
      <c r="B16" s="13" t="inlineStr">
        <is>
          <t>Yes</t>
        </is>
      </c>
      <c r="C16" s="13" t="inlineStr">
        <is>
          <t>InvenTreePartCategoryE2ETest.catRetrieveById</t>
        </is>
      </c>
      <c r="D16" s="14" t="inlineStr">
        <is>
          <t>Full match.</t>
        </is>
      </c>
    </row>
    <row r="17">
      <c r="A17" s="17" t="inlineStr">
        <is>
          <t>API-CAT-004</t>
        </is>
      </c>
      <c r="B17" s="17" t="inlineStr">
        <is>
          <t>No</t>
        </is>
      </c>
      <c r="C17" s="17" t="n"/>
      <c r="D17" s="18" t="n"/>
    </row>
    <row r="18">
      <c r="A18" s="17" t="inlineStr">
        <is>
          <t>API-CAT-005</t>
        </is>
      </c>
      <c r="B18" s="17" t="inlineStr">
        <is>
          <t>No</t>
        </is>
      </c>
      <c r="C18" s="17" t="n"/>
      <c r="D18" s="18" t="n"/>
    </row>
    <row r="19">
      <c r="A19" s="13" t="inlineStr">
        <is>
          <t>API-CAT-006</t>
        </is>
      </c>
      <c r="B19" s="13" t="inlineStr">
        <is>
          <t>Yes</t>
        </is>
      </c>
      <c r="C19" s="13" t="inlineStr">
        <is>
          <t>InvenTreePartCategoryE2ETest.catPutReplacement</t>
        </is>
      </c>
      <c r="D19" s="14" t="inlineStr">
        <is>
          <t>Full match.</t>
        </is>
      </c>
    </row>
    <row r="20">
      <c r="A20" s="17" t="inlineStr">
        <is>
          <t>API-CAT-007</t>
        </is>
      </c>
      <c r="B20" s="17" t="inlineStr">
        <is>
          <t>No</t>
        </is>
      </c>
      <c r="C20" s="17" t="n"/>
      <c r="D20" s="18" t="n"/>
    </row>
    <row r="21">
      <c r="A21" s="17" t="inlineStr">
        <is>
          <t>API-CAT-008</t>
        </is>
      </c>
      <c r="B21" s="17" t="inlineStr">
        <is>
          <t>No</t>
        </is>
      </c>
      <c r="C21" s="17" t="n"/>
      <c r="D21" s="18" t="n"/>
    </row>
    <row r="22">
      <c r="A22" s="15" t="inlineStr">
        <is>
          <t>API-CAT-009</t>
        </is>
      </c>
      <c r="B22" s="15" t="inlineStr">
        <is>
          <t>Partial</t>
        </is>
      </c>
      <c r="C22" s="15" t="inlineStr">
        <is>
          <t>InvenTreePartCategoryE2ETest.catDeleteOrphansAssignedPart</t>
        </is>
      </c>
      <c r="D22" s="16" t="inlineStr">
        <is>
          <t>Verifies the part's re-parenting to the grandparent on default delete; does not test a 3rd-level sub-category also re-parenting (leaf.parent).</t>
        </is>
      </c>
    </row>
    <row r="23">
      <c r="A23" s="17" t="inlineStr">
        <is>
          <t>API-CAT-010</t>
        </is>
      </c>
      <c r="B23" s="17" t="inlineStr">
        <is>
          <t>No</t>
        </is>
      </c>
      <c r="C23" s="17" t="n"/>
      <c r="D23" s="18" t="n"/>
    </row>
    <row r="24">
      <c r="A24" s="17" t="inlineStr">
        <is>
          <t>API-CAT-011</t>
        </is>
      </c>
      <c r="B24" s="17" t="inlineStr">
        <is>
          <t>No</t>
        </is>
      </c>
      <c r="C24" s="17" t="n"/>
      <c r="D24" s="18" t="n"/>
    </row>
    <row r="25">
      <c r="A25" s="17" t="inlineStr">
        <is>
          <t>API-CAT-012</t>
        </is>
      </c>
      <c r="B25" s="17" t="inlineStr">
        <is>
          <t>No</t>
        </is>
      </c>
      <c r="C25" s="17" t="n"/>
      <c r="D25" s="18" t="n"/>
    </row>
    <row r="26">
      <c r="A26" s="13" t="inlineStr">
        <is>
          <t>API-CAT-013</t>
        </is>
      </c>
      <c r="B26" s="13" t="inlineStr">
        <is>
          <t>Yes</t>
        </is>
      </c>
      <c r="C26" s="13" t="inlineStr">
        <is>
          <t>InvenTreePartCategoryE2ETest.catRejectPutWithoutName</t>
        </is>
      </c>
      <c r="D26" s="14" t="inlineStr">
        <is>
          <t>Full match.</t>
        </is>
      </c>
    </row>
    <row r="27">
      <c r="A27" s="13" t="inlineStr">
        <is>
          <t>API-CAT-014</t>
        </is>
      </c>
      <c r="B27" s="13" t="inlineStr">
        <is>
          <t>Yes</t>
        </is>
      </c>
      <c r="C27" s="13" t="inlineStr">
        <is>
          <t>InvenTreePartCategoryE2ETest.catRejectDeleteWithoutCascadeFlags</t>
        </is>
      </c>
      <c r="D27" s="14" t="inlineStr">
        <is>
          <t>Full match.</t>
        </is>
      </c>
    </row>
    <row r="28">
      <c r="A28" s="17" t="inlineStr">
        <is>
          <t>API-CAT-015</t>
        </is>
      </c>
      <c r="B28" s="17" t="inlineStr">
        <is>
          <t>No</t>
        </is>
      </c>
      <c r="C28" s="17" t="n"/>
      <c r="D28" s="18" t="n"/>
    </row>
    <row r="29">
      <c r="A29" s="15" t="inlineStr">
        <is>
          <t>API-LIST-001</t>
        </is>
      </c>
      <c r="B29" s="15" t="inlineStr">
        <is>
          <t>Partial</t>
        </is>
      </c>
      <c r="C29" s="15" t="inlineStr">
        <is>
          <t>InvenTreePartListQueryTest.filteringByCategoryReturnsOnlyMatchingParts</t>
        </is>
      </c>
      <c r="D29" s="16" t="inlineStr">
        <is>
          <t>Verifies category-filter inclusion/exclusion with 2 fixture parts; doesn't exercise the explicit cascade=false param or the 12-part seeded-count matrix this TC specifies.</t>
        </is>
      </c>
    </row>
    <row r="30">
      <c r="A30" s="17" t="inlineStr">
        <is>
          <t>API-LIST-002</t>
        </is>
      </c>
      <c r="B30" s="17" t="inlineStr">
        <is>
          <t>No</t>
        </is>
      </c>
      <c r="C30" s="17" t="n"/>
      <c r="D30" s="18" t="n"/>
    </row>
    <row r="31">
      <c r="A31" s="17" t="inlineStr">
        <is>
          <t>API-LIST-003</t>
        </is>
      </c>
      <c r="B31" s="17" t="inlineStr">
        <is>
          <t>No</t>
        </is>
      </c>
      <c r="C31" s="17" t="n"/>
      <c r="D31" s="18" t="n"/>
    </row>
    <row r="32">
      <c r="A32" s="17" t="inlineStr">
        <is>
          <t>API-LIST-004</t>
        </is>
      </c>
      <c r="B32" s="17" t="inlineStr">
        <is>
          <t>No</t>
        </is>
      </c>
      <c r="C32" s="17" t="n"/>
      <c r="D32" s="18" t="n"/>
    </row>
    <row r="33">
      <c r="A33" s="17" t="inlineStr">
        <is>
          <t>API-LIST-005</t>
        </is>
      </c>
      <c r="B33" s="17" t="inlineStr">
        <is>
          <t>No</t>
        </is>
      </c>
      <c r="C33" s="17" t="n"/>
      <c r="D33" s="18" t="n"/>
    </row>
    <row r="34">
      <c r="A34" s="17" t="inlineStr">
        <is>
          <t>API-LIST-010</t>
        </is>
      </c>
      <c r="B34" s="17" t="inlineStr">
        <is>
          <t>No</t>
        </is>
      </c>
      <c r="C34" s="17" t="n"/>
      <c r="D34" s="18" t="n"/>
    </row>
    <row r="35">
      <c r="A35" s="17" t="inlineStr">
        <is>
          <t>API-LIST-011</t>
        </is>
      </c>
      <c r="B35" s="17" t="inlineStr">
        <is>
          <t>No</t>
        </is>
      </c>
      <c r="C35" s="17" t="n"/>
      <c r="D35" s="18" t="n"/>
    </row>
    <row r="36">
      <c r="A36" s="17" t="inlineStr">
        <is>
          <t>API-LIST-012</t>
        </is>
      </c>
      <c r="B36" s="17" t="inlineStr">
        <is>
          <t>No</t>
        </is>
      </c>
      <c r="C36" s="17" t="n"/>
      <c r="D36" s="18" t="n"/>
    </row>
    <row r="37">
      <c r="A37" s="17" t="inlineStr">
        <is>
          <t>API-LIST-013</t>
        </is>
      </c>
      <c r="B37" s="17" t="inlineStr">
        <is>
          <t>No</t>
        </is>
      </c>
      <c r="C37" s="17" t="n"/>
      <c r="D37" s="18" t="n"/>
    </row>
    <row r="38">
      <c r="A38" s="17" t="inlineStr">
        <is>
          <t>API-LIST-014</t>
        </is>
      </c>
      <c r="B38" s="17" t="inlineStr">
        <is>
          <t>No</t>
        </is>
      </c>
      <c r="C38" s="17" t="n"/>
      <c r="D38" s="18" t="n"/>
    </row>
    <row r="39">
      <c r="A39" s="17" t="inlineStr">
        <is>
          <t>API-LIST-015</t>
        </is>
      </c>
      <c r="B39" s="17" t="inlineStr">
        <is>
          <t>No</t>
        </is>
      </c>
      <c r="C39" s="17" t="n"/>
      <c r="D39" s="18" t="n"/>
    </row>
    <row r="40">
      <c r="A40" s="17" t="inlineStr">
        <is>
          <t>API-LIST-016</t>
        </is>
      </c>
      <c r="B40" s="17" t="inlineStr">
        <is>
          <t>No</t>
        </is>
      </c>
      <c r="C40" s="17" t="n"/>
      <c r="D40" s="18" t="n"/>
    </row>
    <row r="41">
      <c r="A41" s="17" t="inlineStr">
        <is>
          <t>API-LIST-017</t>
        </is>
      </c>
      <c r="B41" s="17" t="inlineStr">
        <is>
          <t>No</t>
        </is>
      </c>
      <c r="C41" s="17" t="n"/>
      <c r="D41" s="18" t="n"/>
    </row>
    <row r="42">
      <c r="A42" s="17" t="inlineStr">
        <is>
          <t>API-LIST-018</t>
        </is>
      </c>
      <c r="B42" s="17" t="inlineStr">
        <is>
          <t>No</t>
        </is>
      </c>
      <c r="C42" s="17" t="n"/>
      <c r="D42" s="18" t="n"/>
    </row>
    <row r="43">
      <c r="A43" s="17" t="inlineStr">
        <is>
          <t>API-LIST-019</t>
        </is>
      </c>
      <c r="B43" s="17" t="inlineStr">
        <is>
          <t>No</t>
        </is>
      </c>
      <c r="C43" s="17" t="n"/>
      <c r="D43" s="18" t="n"/>
    </row>
    <row r="44">
      <c r="A44" s="17" t="inlineStr">
        <is>
          <t>API-LIST-020</t>
        </is>
      </c>
      <c r="B44" s="17" t="inlineStr">
        <is>
          <t>No</t>
        </is>
      </c>
      <c r="C44" s="17" t="n"/>
      <c r="D44" s="18" t="n"/>
    </row>
    <row r="45">
      <c r="A45" s="17" t="inlineStr">
        <is>
          <t>API-LIST-021</t>
        </is>
      </c>
      <c r="B45" s="17" t="inlineStr">
        <is>
          <t>No</t>
        </is>
      </c>
      <c r="C45" s="17" t="n"/>
      <c r="D45" s="18" t="n"/>
    </row>
    <row r="46">
      <c r="A46" s="17" t="inlineStr">
        <is>
          <t>API-LIST-022</t>
        </is>
      </c>
      <c r="B46" s="17" t="inlineStr">
        <is>
          <t>No</t>
        </is>
      </c>
      <c r="C46" s="17" t="n"/>
      <c r="D46" s="18" t="n"/>
    </row>
    <row r="47">
      <c r="A47" s="17" t="inlineStr">
        <is>
          <t>API-LIST-023</t>
        </is>
      </c>
      <c r="B47" s="17" t="inlineStr">
        <is>
          <t>No</t>
        </is>
      </c>
      <c r="C47" s="17" t="n"/>
      <c r="D47" s="18" t="n"/>
    </row>
    <row r="48">
      <c r="A48" s="17" t="inlineStr">
        <is>
          <t>API-PAGE-001</t>
        </is>
      </c>
      <c r="B48" s="17" t="inlineStr">
        <is>
          <t>No</t>
        </is>
      </c>
      <c r="C48" s="17" t="n"/>
      <c r="D48" s="18" t="n"/>
    </row>
    <row r="49">
      <c r="A49" s="15" t="inlineStr">
        <is>
          <t>API-PAGE-002</t>
        </is>
      </c>
      <c r="B49" s="15" t="inlineStr">
        <is>
          <t>Partial</t>
        </is>
      </c>
      <c r="C49" s="15" t="inlineStr">
        <is>
          <t>InvenTreePartListQueryTest.paginationLimitAndOffsetControlResultWindow</t>
        </is>
      </c>
      <c r="D49" s="16" t="inlineStr">
        <is>
          <t>Verifies one 2-page split (limit=1); not the full 7-combination boundary matrix this TC specifies.</t>
        </is>
      </c>
    </row>
    <row r="50">
      <c r="A50" s="17" t="inlineStr">
        <is>
          <t>API-PAGE-003</t>
        </is>
      </c>
      <c r="B50" s="17" t="inlineStr">
        <is>
          <t>No</t>
        </is>
      </c>
      <c r="C50" s="17" t="n"/>
      <c r="D50" s="18" t="n"/>
    </row>
    <row r="51">
      <c r="A51" s="17" t="inlineStr">
        <is>
          <t>API-PAGE-004</t>
        </is>
      </c>
      <c r="B51" s="17" t="inlineStr">
        <is>
          <t>No</t>
        </is>
      </c>
      <c r="C51" s="17" t="n"/>
      <c r="D51" s="18" t="n"/>
    </row>
    <row r="52">
      <c r="A52" s="17" t="inlineStr">
        <is>
          <t>API-PAGE-005</t>
        </is>
      </c>
      <c r="B52" s="17" t="inlineStr">
        <is>
          <t>No</t>
        </is>
      </c>
      <c r="C52" s="17" t="n"/>
      <c r="D52" s="18" t="n"/>
    </row>
    <row r="53">
      <c r="A53" s="17" t="inlineStr">
        <is>
          <t>API-SORT-001</t>
        </is>
      </c>
      <c r="B53" s="17" t="inlineStr">
        <is>
          <t>No</t>
        </is>
      </c>
      <c r="C53" s="17" t="n"/>
      <c r="D53" s="18" t="n"/>
    </row>
    <row r="54">
      <c r="A54" s="17" t="inlineStr">
        <is>
          <t>API-SORT-002</t>
        </is>
      </c>
      <c r="B54" s="17" t="inlineStr">
        <is>
          <t>No</t>
        </is>
      </c>
      <c r="C54" s="17" t="n"/>
      <c r="D54" s="18" t="n"/>
    </row>
    <row r="55">
      <c r="A55" s="15" t="inlineStr">
        <is>
          <t>API-SRCH-001</t>
        </is>
      </c>
      <c r="B55" s="15" t="inlineStr">
        <is>
          <t>Partial</t>
        </is>
      </c>
      <c r="C55" s="15" t="inlineStr">
        <is>
          <t>InvenTreePartListQueryTest.searchFindsPartsByNameSubstring</t>
        </is>
      </c>
      <c r="D55" s="16" t="inlineStr">
        <is>
          <t>Only the name field is tested; IPN/description/keywords and explicit case-insensitivity are not covered.</t>
        </is>
      </c>
    </row>
    <row r="56">
      <c r="A56" s="17" t="inlineStr">
        <is>
          <t>API-SRCH-002</t>
        </is>
      </c>
      <c r="B56" s="17" t="inlineStr">
        <is>
          <t>No</t>
        </is>
      </c>
      <c r="C56" s="17" t="n"/>
      <c r="D56" s="18" t="n"/>
    </row>
    <row r="57">
      <c r="A57" s="17" t="inlineStr">
        <is>
          <t>API-SRCH-003</t>
        </is>
      </c>
      <c r="B57" s="17" t="inlineStr">
        <is>
          <t>No</t>
        </is>
      </c>
      <c r="C57" s="17" t="n"/>
      <c r="D57" s="18" t="n"/>
    </row>
    <row r="58">
      <c r="A58" s="17" t="inlineStr">
        <is>
          <t>API-SRCH-004</t>
        </is>
      </c>
      <c r="B58" s="17" t="inlineStr">
        <is>
          <t>No</t>
        </is>
      </c>
      <c r="C58" s="17" t="n"/>
      <c r="D58" s="18" t="n"/>
    </row>
    <row r="59">
      <c r="A59" s="17" t="inlineStr">
        <is>
          <t>API-VAL-001</t>
        </is>
      </c>
      <c r="B59" s="17" t="inlineStr">
        <is>
          <t>No</t>
        </is>
      </c>
      <c r="C59" s="17" t="n"/>
      <c r="D59" s="18" t="n"/>
    </row>
    <row r="60">
      <c r="A60" s="13" t="inlineStr">
        <is>
          <t>API-VAL-004</t>
        </is>
      </c>
      <c r="B60" s="13" t="inlineStr">
        <is>
          <t>Yes</t>
        </is>
      </c>
      <c r="C60" s="13" t="inlineStr">
        <is>
          <t>InvenTreePartE2ETest.validatePartNameBoundary[0]</t>
        </is>
      </c>
      <c r="D60" s="14" t="inlineStr">
        <is>
          <t>name at exactly 100 chars — full match.</t>
        </is>
      </c>
    </row>
    <row r="61">
      <c r="A61" s="13" t="inlineStr">
        <is>
          <t>API-VAL-005</t>
        </is>
      </c>
      <c r="B61" s="13" t="inlineStr">
        <is>
          <t>Yes</t>
        </is>
      </c>
      <c r="C61" s="13" t="inlineStr">
        <is>
          <t>InvenTreePartE2ETest.validatePartNameBoundary[1]</t>
        </is>
      </c>
      <c r="D61" s="14" t="inlineStr">
        <is>
          <t>name at 101 chars — full match.</t>
        </is>
      </c>
    </row>
    <row r="62">
      <c r="A62" s="13" t="inlineStr">
        <is>
          <t>API-VAL-007</t>
        </is>
      </c>
      <c r="B62" s="13" t="inlineStr">
        <is>
          <t>Yes</t>
        </is>
      </c>
      <c r="C62" s="13" t="inlineStr">
        <is>
          <t>InvenTreePartE2ETest.validatePartFieldLengthBoundary["description",251]</t>
        </is>
      </c>
      <c r="D62" s="14" t="inlineStr">
        <is>
          <t>Full match.</t>
        </is>
      </c>
    </row>
    <row r="63">
      <c r="A63" s="13" t="inlineStr">
        <is>
          <t>API-VAL-009</t>
        </is>
      </c>
      <c r="B63" s="13" t="inlineStr">
        <is>
          <t>Yes</t>
        </is>
      </c>
      <c r="C63" s="13" t="inlineStr">
        <is>
          <t>InvenTreePartE2ETest.validatePartFieldLengthBoundary["ipn",101]</t>
        </is>
      </c>
      <c r="D63" s="14" t="inlineStr">
        <is>
          <t>Full match.</t>
        </is>
      </c>
    </row>
    <row r="64">
      <c r="A64" s="13" t="inlineStr">
        <is>
          <t>API-VAL-016</t>
        </is>
      </c>
      <c r="B64" s="13" t="inlineStr">
        <is>
          <t>Yes</t>
        </is>
      </c>
      <c r="C64" s="13" t="inlineStr">
        <is>
          <t>InvenTreePartE2ETest.validateUnitsMustBeARegisteredPhysicalUnit</t>
        </is>
      </c>
      <c r="D64" s="14" t="inlineStr">
        <is>
          <t>Full match — verified live that units is validated as a registered physical unit, not a maxLength string.</t>
        </is>
      </c>
    </row>
    <row r="65">
      <c r="A65" s="17" t="inlineStr">
        <is>
          <t>API-VAL-018</t>
        </is>
      </c>
      <c r="B65" s="17" t="inlineStr">
        <is>
          <t>No</t>
        </is>
      </c>
      <c r="C65" s="17" t="n"/>
      <c r="D65" s="18" t="n"/>
    </row>
    <row r="66">
      <c r="A66" s="13" t="inlineStr">
        <is>
          <t>API-VAL-020</t>
        </is>
      </c>
      <c r="B66" s="13" t="inlineStr">
        <is>
          <t>Yes</t>
        </is>
      </c>
      <c r="C66" s="13" t="inlineStr">
        <is>
          <t>InvenTreePartE2ETest.validateDefaultExpiryBoundary[-1]</t>
        </is>
      </c>
      <c r="D66" s="14" t="inlineStr">
        <is>
          <t>Full match (also additionally covers 0 and 30 as valid boundary values).</t>
        </is>
      </c>
    </row>
    <row r="67">
      <c r="A67" s="17" t="inlineStr">
        <is>
          <t>API-VAL-024</t>
        </is>
      </c>
      <c r="B67" s="17" t="inlineStr">
        <is>
          <t>No</t>
        </is>
      </c>
      <c r="C67" s="17" t="n"/>
      <c r="D67" s="18" t="n"/>
    </row>
    <row r="68">
      <c r="A68" s="15" t="inlineStr">
        <is>
          <t>API-VAL-026</t>
        </is>
      </c>
      <c r="B68" s="15" t="inlineStr">
        <is>
          <t>Partial</t>
        </is>
      </c>
      <c r="C68" s="15" t="inlineStr">
        <is>
          <t>InvenTreePartE2ETest.validateNullableFieldsAcceptExplicitNull</t>
        </is>
      </c>
      <c r="D68" s="16" t="inlineStr">
        <is>
          <t>Covers keywords, units and notes as explicit null; category and link (named in this TC) are not included.</t>
        </is>
      </c>
    </row>
    <row r="69">
      <c r="A69" s="17" t="inlineStr">
        <is>
          <t>API-VAL-040</t>
        </is>
      </c>
      <c r="B69" s="17" t="inlineStr">
        <is>
          <t>No</t>
        </is>
      </c>
      <c r="C69" s="17" t="n"/>
      <c r="D69" s="18" t="n"/>
    </row>
    <row r="70">
      <c r="A70" s="17" t="inlineStr">
        <is>
          <t>API-VAL-053</t>
        </is>
      </c>
      <c r="B70" s="17" t="inlineStr">
        <is>
          <t>No</t>
        </is>
      </c>
      <c r="C70" s="17" t="n"/>
      <c r="D70" s="18" t="n"/>
    </row>
    <row r="71">
      <c r="A71" s="17" t="inlineStr">
        <is>
          <t>API-CVAL-001</t>
        </is>
      </c>
      <c r="B71" s="17" t="inlineStr">
        <is>
          <t>No</t>
        </is>
      </c>
      <c r="C71" s="17" t="n"/>
      <c r="D71" s="18" t="n"/>
    </row>
    <row r="72">
      <c r="A72" s="17" t="inlineStr">
        <is>
          <t>API-CVAL-004</t>
        </is>
      </c>
      <c r="B72" s="17" t="inlineStr">
        <is>
          <t>No</t>
        </is>
      </c>
      <c r="C72" s="17" t="n"/>
      <c r="D72" s="18" t="n"/>
    </row>
    <row r="73">
      <c r="A73" s="17" t="inlineStr">
        <is>
          <t>API-CVAL-007</t>
        </is>
      </c>
      <c r="B73" s="17" t="inlineStr">
        <is>
          <t>No</t>
        </is>
      </c>
      <c r="C73" s="17" t="n"/>
      <c r="D73" s="18" t="n"/>
    </row>
    <row r="74">
      <c r="A74" s="17" t="inlineStr">
        <is>
          <t>API-RO-001</t>
        </is>
      </c>
      <c r="B74" s="17" t="inlineStr">
        <is>
          <t>No</t>
        </is>
      </c>
      <c r="C74" s="17" t="n"/>
      <c r="D74" s="18" t="n"/>
    </row>
    <row r="75">
      <c r="A75" s="17" t="inlineStr">
        <is>
          <t>API-RO-010</t>
        </is>
      </c>
      <c r="B75" s="17" t="inlineStr">
        <is>
          <t>No</t>
        </is>
      </c>
      <c r="C75" s="17" t="n"/>
      <c r="D75" s="18" t="n"/>
    </row>
    <row r="76">
      <c r="A76" s="17" t="inlineStr">
        <is>
          <t>API-REL-001</t>
        </is>
      </c>
      <c r="B76" s="17" t="inlineStr">
        <is>
          <t>No</t>
        </is>
      </c>
      <c r="C76" s="17" t="n"/>
      <c r="D76" s="18" t="n"/>
    </row>
    <row r="77">
      <c r="A77" s="17" t="inlineStr">
        <is>
          <t>API-REL-002</t>
        </is>
      </c>
      <c r="B77" s="17" t="inlineStr">
        <is>
          <t>No</t>
        </is>
      </c>
      <c r="C77" s="17" t="n"/>
      <c r="D77" s="18" t="n"/>
    </row>
    <row r="78">
      <c r="A78" s="17" t="inlineStr">
        <is>
          <t>API-REL-005</t>
        </is>
      </c>
      <c r="B78" s="17" t="inlineStr">
        <is>
          <t>No</t>
        </is>
      </c>
      <c r="C78" s="17" t="n"/>
      <c r="D78" s="18" t="n"/>
    </row>
    <row r="79">
      <c r="A79" s="17" t="inlineStr">
        <is>
          <t>API-REL-008</t>
        </is>
      </c>
      <c r="B79" s="17" t="inlineStr">
        <is>
          <t>No</t>
        </is>
      </c>
      <c r="C79" s="17" t="n"/>
      <c r="D79" s="18" t="n"/>
    </row>
    <row r="80">
      <c r="A80" s="17" t="inlineStr">
        <is>
          <t>API-REL-009</t>
        </is>
      </c>
      <c r="B80" s="17" t="inlineStr">
        <is>
          <t>No</t>
        </is>
      </c>
      <c r="C80" s="17" t="n"/>
      <c r="D80" s="18" t="n"/>
    </row>
    <row r="81">
      <c r="A81" s="17" t="inlineStr">
        <is>
          <t>API-REL-020</t>
        </is>
      </c>
      <c r="B81" s="17" t="inlineStr">
        <is>
          <t>No</t>
        </is>
      </c>
      <c r="C81" s="17" t="n"/>
      <c r="D81" s="18" t="n"/>
    </row>
    <row r="82">
      <c r="A82" s="17" t="inlineStr">
        <is>
          <t>API-REL-021</t>
        </is>
      </c>
      <c r="B82" s="17" t="inlineStr">
        <is>
          <t>No</t>
        </is>
      </c>
      <c r="C82" s="17" t="n"/>
      <c r="D82" s="18" t="n"/>
    </row>
    <row r="83">
      <c r="A83" s="17" t="inlineStr">
        <is>
          <t>API-REL-024</t>
        </is>
      </c>
      <c r="B83" s="17" t="inlineStr">
        <is>
          <t>No</t>
        </is>
      </c>
      <c r="C83" s="17" t="n"/>
      <c r="D83" s="18" t="n"/>
    </row>
    <row r="84">
      <c r="A84" s="17" t="inlineStr">
        <is>
          <t>API-REL-026</t>
        </is>
      </c>
      <c r="B84" s="17" t="inlineStr">
        <is>
          <t>No</t>
        </is>
      </c>
      <c r="C84" s="17" t="n"/>
      <c r="D84" s="18" t="n"/>
    </row>
    <row r="85">
      <c r="A85" s="15" t="inlineStr">
        <is>
          <t>API-REL-030</t>
        </is>
      </c>
      <c r="B85" s="15" t="inlineStr">
        <is>
          <t>Partial</t>
        </is>
      </c>
      <c r="C85" s="15" t="inlineStr">
        <is>
          <t>InvenTreeSupplierPartE2ETest.createSupplierPartLinkage</t>
        </is>
      </c>
      <c r="D85" s="16" t="inlineStr">
        <is>
          <t>Verifies SupplierPart linkage, but via a separate POST to /api/company/part/, not this TC's initial_supplier convenience field on Part creation; ManufacturerPart linkage is not covered.</t>
        </is>
      </c>
    </row>
    <row r="86">
      <c r="A86" s="15" t="inlineStr">
        <is>
          <t>API-REL-031</t>
        </is>
      </c>
      <c r="B86" s="15" t="inlineStr">
        <is>
          <t>Partial</t>
        </is>
      </c>
      <c r="C86" s="15" t="inlineStr">
        <is>
          <t>InvenTreeSupplierPartE2ETest.rejectSupplierPartAgainstNonSupplierCompany</t>
        </is>
      </c>
      <c r="D86" s="16" t="inlineStr">
        <is>
          <t>Same assertion (non-supplier Company rejected, 400) but via a direct POST to /api/company/part/ rather than the initial_supplier convenience field.</t>
        </is>
      </c>
    </row>
    <row r="87">
      <c r="A87" s="17" t="inlineStr">
        <is>
          <t>API-REL-040</t>
        </is>
      </c>
      <c r="B87" s="17" t="inlineStr">
        <is>
          <t>No</t>
        </is>
      </c>
      <c r="C87" s="17" t="n"/>
      <c r="D87" s="18" t="n"/>
    </row>
    <row r="88">
      <c r="A88" s="15" t="inlineStr">
        <is>
          <t>API-SEC-001</t>
        </is>
      </c>
      <c r="B88" s="15" t="inlineStr">
        <is>
          <t>Partial</t>
        </is>
      </c>
      <c r="C88" s="15" t="inlineStr">
        <is>
          <t>InvenTreeSecurityTest.getWithoutCredentialsIsRejected / postWithoutCredentialsIsRejected</t>
        </is>
      </c>
      <c r="D88" s="16" t="inlineStr">
        <is>
          <t>Covers GET and POST on /api/part/ only; PATCH/DELETE and /api/part/category/ are not covered, and the "unchanged as admin" verification step is not performed.</t>
        </is>
      </c>
    </row>
    <row r="89">
      <c r="A89" s="15" t="inlineStr">
        <is>
          <t>API-SEC-003</t>
        </is>
      </c>
      <c r="B89" s="15" t="inlineStr">
        <is>
          <t>Partial</t>
        </is>
      </c>
      <c r="C89" s="15" t="inlineStr">
        <is>
          <t>InvenTreeSecurityTest.getWithInvalidTokenIsRejected / postWithInvalidTokenIsRejected</t>
        </is>
      </c>
      <c r="D89" s="16" t="inlineStr">
        <is>
          <t>Tests one invalid-token literal; not the 'Token bad'/'Token '/'Bearer x'/'garbage' variant matrix this TC specifies.</t>
        </is>
      </c>
    </row>
    <row r="90">
      <c r="A90" s="17" t="inlineStr">
        <is>
          <t>API-SEC-010</t>
        </is>
      </c>
      <c r="B90" s="17" t="inlineStr">
        <is>
          <t>No</t>
        </is>
      </c>
      <c r="C90" s="17" t="n"/>
      <c r="D90" s="18" t="n"/>
    </row>
    <row r="91">
      <c r="A91" s="17" t="inlineStr">
        <is>
          <t>API-EDGE-001</t>
        </is>
      </c>
      <c r="B91" s="17" t="inlineStr">
        <is>
          <t>No</t>
        </is>
      </c>
      <c r="C91" s="17" t="n"/>
      <c r="D91" s="18" t="n"/>
    </row>
    <row r="92">
      <c r="A92" s="17" t="inlineStr">
        <is>
          <t>API-EDGE-010</t>
        </is>
      </c>
      <c r="B92" s="17" t="inlineStr">
        <is>
          <t>No</t>
        </is>
      </c>
      <c r="C92" s="17" t="n"/>
      <c r="D92" s="18" t="n"/>
    </row>
    <row r="93">
      <c r="A93" s="17" t="inlineStr">
        <is>
          <t>API-EDGE-011</t>
        </is>
      </c>
      <c r="B93" s="17" t="inlineStr">
        <is>
          <t>No</t>
        </is>
      </c>
      <c r="C93" s="17" t="n"/>
      <c r="D93" s="18" t="n"/>
    </row>
    <row r="94">
      <c r="A94" s="17" t="inlineStr">
        <is>
          <t>API-EDGE-012</t>
        </is>
      </c>
      <c r="B94" s="17" t="inlineStr">
        <is>
          <t>No</t>
        </is>
      </c>
      <c r="C94" s="17" t="n"/>
      <c r="D94" s="18" t="n"/>
    </row>
    <row r="95">
      <c r="A95" s="17" t="inlineStr">
        <is>
          <t>API-EDGE-030</t>
        </is>
      </c>
      <c r="B95" s="17" t="inlineStr">
        <is>
          <t>No</t>
        </is>
      </c>
      <c r="C95" s="17" t="n"/>
      <c r="D95" s="18" t="n"/>
    </row>
    <row r="96">
      <c r="A96" s="17" t="inlineStr">
        <is>
          <t>API-EDGE-031</t>
        </is>
      </c>
      <c r="B96" s="17" t="inlineStr">
        <is>
          <t>No</t>
        </is>
      </c>
      <c r="C96" s="17" t="n"/>
      <c r="D96" s="18" t="n"/>
    </row>
    <row r="97">
      <c r="A97" s="17" t="inlineStr">
        <is>
          <t>API-CON-001</t>
        </is>
      </c>
      <c r="B97" s="17" t="inlineStr">
        <is>
          <t>No</t>
        </is>
      </c>
      <c r="C97" s="17" t="n"/>
      <c r="D97" s="18" t="n"/>
    </row>
    <row r="98">
      <c r="A98" s="17" t="inlineStr">
        <is>
          <t>API-CON-003</t>
        </is>
      </c>
      <c r="B98" s="17" t="inlineStr">
        <is>
          <t>No</t>
        </is>
      </c>
      <c r="C98" s="17" t="n"/>
      <c r="D98" s="18" t="n"/>
    </row>
    <row r="99">
      <c r="A99" s="17" t="inlineStr">
        <is>
          <t>API-CON-004</t>
        </is>
      </c>
      <c r="B99" s="17" t="inlineStr">
        <is>
          <t>No</t>
        </is>
      </c>
      <c r="C99" s="17" t="n"/>
      <c r="D99" s="18" t="n"/>
    </row>
    <row r="101">
      <c r="A101" s="19" t="inlineStr">
        <is>
          <t>Total test cases:</t>
        </is>
      </c>
      <c r="B101" s="20" t="n">
        <v>98</v>
      </c>
    </row>
    <row r="102">
      <c r="A102" s="19" t="inlineStr">
        <is>
          <t>Automated (full match):</t>
        </is>
      </c>
      <c r="B102" s="20" t="n">
        <v>20</v>
      </c>
    </row>
    <row r="103">
      <c r="A103" s="19" t="inlineStr">
        <is>
          <t>Automated (partial match):</t>
        </is>
      </c>
      <c r="B103" s="20" t="n">
        <v>11</v>
      </c>
    </row>
    <row r="104">
      <c r="A104" s="19" t="inlineStr">
        <is>
          <t>Not automated (manual only):</t>
        </is>
      </c>
      <c r="B104" s="20" t="n">
        <v>67</v>
      </c>
    </row>
    <row r="106" ht="30" customHeight="1">
      <c r="A106" s="21" t="inlineStr">
        <is>
          <t>Automation intentionally covers a representative subset, not every test case in this suite — the remaining cases stay manual by design. 'Partial' means the automated test verifies the same behavior with narrower scope than this TC specifies (see Coverage Note); it is not a claim of full equivalence.</t>
        </is>
      </c>
    </row>
  </sheetData>
  <mergeCells count="1">
    <mergeCell ref="A106:D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2026-09-24T08:59:37Z</dcterms:created>
  <dcterms:modified xsi:type="dcterms:W3CDTF">2026-09-27T09:01:29Z</dcterms:modified>
  <cp:lastModifiedBy>Microsoft Office User</cp:lastModifiedBy>
  <cp:revision>0</cp:revision>
</cp:coreProperties>
</file>