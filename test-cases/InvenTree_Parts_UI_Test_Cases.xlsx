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Test Cases" sheetId="2" state="visible" r:id="rId2"/>
    <sheet name="Traceability" sheetId="3" state="visible" r:id="rId3"/>
    <sheet name="Observations" sheetId="4" state="visible" r:id="rId4"/>
    <sheet name="Automation Traceability 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00FF"/>
      <sz val="9"/>
    </font>
    <font>
      <name val="Arial"/>
      <b val="1"/>
      <color rgb="FFFFFFFF"/>
      <sz val="10"/>
    </font>
    <font>
      <name val="Arial"/>
      <sz val="9"/>
    </font>
    <font>
      <name val="Arial"/>
      <b val="1"/>
      <sz val="9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E0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5" borderId="0" applyAlignment="1" pivotButton="0" quotePrefix="0" xfId="0">
      <alignment vertical="top"/>
    </xf>
    <xf numFmtId="0" fontId="12" fillId="6" borderId="0" applyAlignment="1" pivotButton="0" quotePrefix="0" xfId="0">
      <alignment vertical="top"/>
    </xf>
    <xf numFmtId="0" fontId="12" fillId="6" borderId="0" applyAlignment="1" pivotButton="0" quotePrefix="0" xfId="0">
      <alignment vertical="top" wrapText="1"/>
    </xf>
    <xf numFmtId="0" fontId="12" fillId="7" borderId="0" applyAlignment="1" pivotButton="0" quotePrefix="0" xfId="0">
      <alignment vertical="top"/>
    </xf>
    <xf numFmtId="0" fontId="12" fillId="7" borderId="0" applyAlignment="1" pivotButton="0" quotePrefix="0" xfId="0">
      <alignment vertical="top" wrapText="1"/>
    </xf>
    <xf numFmtId="0" fontId="12" fillId="8" borderId="0" applyAlignment="1" pivotButton="0" quotePrefix="0" xfId="0">
      <alignment vertical="top"/>
    </xf>
    <xf numFmtId="0" fontId="12" fillId="8" borderId="0" applyAlignment="1" pivotButton="0" quotePrefix="0" xfId="0">
      <alignment vertical="top" wrapText="1"/>
    </xf>
    <xf numFmtId="0" fontId="13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E0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UITestCases" displayName="UITestCases" ref="A1:N75" headerRowCount="1" totalsRowCount="0" totalsRowShown="0">
  <autoFilter ref="A1:N75"/>
  <tableColumns count="14">
    <tableColumn id="1" name="TC ID"/>
    <tableColumn id="2" name="Module"/>
    <tableColumn id="3" name="Title / Scenario"/>
    <tableColumn id="4" name="Type"/>
    <tableColumn id="5" name="Priority"/>
    <tableColumn id="6" name="Preconditions"/>
    <tableColumn id="7" name="Navigation"/>
    <tableColumn id="8" name="Test Data"/>
    <tableColumn id="9" name="Steps"/>
    <tableColumn id="10" name="Expected Result"/>
    <tableColumn id="11" name="Actual Result"/>
    <tableColumn id="12" name="Status"/>
    <tableColumn id="13" name="Remarks"/>
    <tableColumn id="14" name="Requirement Sour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ocs.inventree.org/en/stable/part/create/" TargetMode="External" Id="rId1" /><Relationship Type="http://schemas.openxmlformats.org/officeDocument/2006/relationships/hyperlink" Target="https://docs.inventree.org/en/stable/part/create/" TargetMode="External" Id="rId2" /><Relationship Type="http://schemas.openxmlformats.org/officeDocument/2006/relationships/hyperlink" Target="https://docs.inventree.org/en/stable/part/create/" TargetMode="External" Id="rId3" /><Relationship Type="http://schemas.openxmlformats.org/officeDocument/2006/relationships/hyperlink" Target="https://docs.inventree.org/en/stable/part/create/" TargetMode="External" Id="rId4" /><Relationship Type="http://schemas.openxmlformats.org/officeDocument/2006/relationships/hyperlink" Target="https://docs.inventree.org/en/stable/part/create/" TargetMode="External" Id="rId5" /><Relationship Type="http://schemas.openxmlformats.org/officeDocument/2006/relationships/hyperlink" Target="https://docs.inventree.org/en/stable/part/create/" TargetMode="External" Id="rId6" /><Relationship Type="http://schemas.openxmlformats.org/officeDocument/2006/relationships/hyperlink" Target="https://docs.inventree.org/en/stable/part/index/" TargetMode="External" Id="rId7" /><Relationship Type="http://schemas.openxmlformats.org/officeDocument/2006/relationships/hyperlink" Target="https://docs.inventree.org/en/stable/part/create/" TargetMode="External" Id="rId8" /><Relationship Type="http://schemas.openxmlformats.org/officeDocument/2006/relationships/hyperlink" Target="https://docs.inventree.org/en/stable/concepts/data_import/" TargetMode="External" Id="rId9" /><Relationship Type="http://schemas.openxmlformats.org/officeDocument/2006/relationships/hyperlink" Target="https://docs.inventree.org/en/stable/concepts/data_import/" TargetMode="External" Id="rId10" /><Relationship Type="http://schemas.openxmlformats.org/officeDocument/2006/relationships/hyperlink" Target="https://docs.inventree.org/en/stable/concepts/data_import/" TargetMode="External" Id="rId11" /><Relationship Type="http://schemas.openxmlformats.org/officeDocument/2006/relationships/hyperlink" Target="https://docs.inventree.org/en/stable/concepts/data_import/" TargetMode="External" Id="rId12" /><Relationship Type="http://schemas.openxmlformats.org/officeDocument/2006/relationships/hyperlink" Target="https://docs.inventree.org/en/stable/part/views/" TargetMode="External" Id="rId13" /><Relationship Type="http://schemas.openxmlformats.org/officeDocument/2006/relationships/hyperlink" Target="https://docs.inventree.org/en/stable/part/views/" TargetMode="External" Id="rId14" /><Relationship Type="http://schemas.openxmlformats.org/officeDocument/2006/relationships/hyperlink" Target="https://docs.inventree.org/en/stable/part/views/" TargetMode="External" Id="rId15" /><Relationship Type="http://schemas.openxmlformats.org/officeDocument/2006/relationships/hyperlink" Target="https://docs.inventree.org/en/stable/part/views/" TargetMode="External" Id="rId16" /><Relationship Type="http://schemas.openxmlformats.org/officeDocument/2006/relationships/hyperlink" Target="https://docs.inventree.org/en/stable/part/index/" TargetMode="External" Id="rId17" /><Relationship Type="http://schemas.openxmlformats.org/officeDocument/2006/relationships/hyperlink" Target="https://docs.inventree.org/en/stable/part/views/" TargetMode="External" Id="rId18" /><Relationship Type="http://schemas.openxmlformats.org/officeDocument/2006/relationships/hyperlink" Target="https://docs.inventree.org/en/stable/part/views/" TargetMode="External" Id="rId19" /><Relationship Type="http://schemas.openxmlformats.org/officeDocument/2006/relationships/hyperlink" Target="https://docs.inventree.org/en/stable/part/views/" TargetMode="External" Id="rId20" /><Relationship Type="http://schemas.openxmlformats.org/officeDocument/2006/relationships/hyperlink" Target="https://docs.inventree.org/en/stable/part/views/" TargetMode="External" Id="rId21" /><Relationship Type="http://schemas.openxmlformats.org/officeDocument/2006/relationships/hyperlink" Target="https://docs.inventree.org/en/stable/part/views/" TargetMode="External" Id="rId22" /><Relationship Type="http://schemas.openxmlformats.org/officeDocument/2006/relationships/hyperlink" Target="https://docs.inventree.org/en/stable/concepts/parameters/" TargetMode="External" Id="rId23" /><Relationship Type="http://schemas.openxmlformats.org/officeDocument/2006/relationships/hyperlink" Target="https://docs.inventree.org/en/stable/part/views/" TargetMode="External" Id="rId24" /><Relationship Type="http://schemas.openxmlformats.org/officeDocument/2006/relationships/hyperlink" Target="https://docs.inventree.org/en/stable/part/views/" TargetMode="External" Id="rId25" /><Relationship Type="http://schemas.openxmlformats.org/officeDocument/2006/relationships/hyperlink" Target="https://docs.inventree.org/en/stable/part/test/" TargetMode="External" Id="rId26" /><Relationship Type="http://schemas.openxmlformats.org/officeDocument/2006/relationships/hyperlink" Target="https://docs.inventree.org/en/stable/part/test/" TargetMode="External" Id="rId27" /><Relationship Type="http://schemas.openxmlformats.org/officeDocument/2006/relationships/hyperlink" Target="https://docs.inventree.org/en/stable/part/index/" TargetMode="External" Id="rId28" /><Relationship Type="http://schemas.openxmlformats.org/officeDocument/2006/relationships/hyperlink" Target="https://docs.inventree.org/en/stable/part/index/" TargetMode="External" Id="rId29" /><Relationship Type="http://schemas.openxmlformats.org/officeDocument/2006/relationships/hyperlink" Target="https://docs.inventree.org/en/stable/part/index/" TargetMode="External" Id="rId30" /><Relationship Type="http://schemas.openxmlformats.org/officeDocument/2006/relationships/hyperlink" Target="https://docs.inventree.org/en/stable/part/index/" TargetMode="External" Id="rId31" /><Relationship Type="http://schemas.openxmlformats.org/officeDocument/2006/relationships/hyperlink" Target="https://docs.inventree.org/en/stable/part/index/" TargetMode="External" Id="rId32" /><Relationship Type="http://schemas.openxmlformats.org/officeDocument/2006/relationships/hyperlink" Target="https://docs.inventree.org/en/stable/concepts/parameters/" TargetMode="External" Id="rId33" /><Relationship Type="http://schemas.openxmlformats.org/officeDocument/2006/relationships/hyperlink" Target="https://docs.inventree.org/en/stable/concepts/parameters/" TargetMode="External" Id="rId34" /><Relationship Type="http://schemas.openxmlformats.org/officeDocument/2006/relationships/hyperlink" Target="https://docs.inventree.org/en/stable/concepts/parameters/" TargetMode="External" Id="rId35" /><Relationship Type="http://schemas.openxmlformats.org/officeDocument/2006/relationships/hyperlink" Target="https://docs.inventree.org/en/stable/concepts/parameters/" TargetMode="External" Id="rId36" /><Relationship Type="http://schemas.openxmlformats.org/officeDocument/2006/relationships/hyperlink" Target="https://docs.inventree.org/en/stable/concepts/parameters/" TargetMode="External" Id="rId37" /><Relationship Type="http://schemas.openxmlformats.org/officeDocument/2006/relationships/hyperlink" Target="https://docs.inventree.org/en/stable/concepts/parameters/" TargetMode="External" Id="rId38" /><Relationship Type="http://schemas.openxmlformats.org/officeDocument/2006/relationships/hyperlink" Target="https://docs.inventree.org/en/stable/concepts/parameters/" TargetMode="External" Id="rId39" /><Relationship Type="http://schemas.openxmlformats.org/officeDocument/2006/relationships/hyperlink" Target="https://docs.inventree.org/en/stable/part/index/" TargetMode="External" Id="rId40" /><Relationship Type="http://schemas.openxmlformats.org/officeDocument/2006/relationships/hyperlink" Target="https://docs.inventree.org/en/stable/part/virtual/" TargetMode="External" Id="rId41" /><Relationship Type="http://schemas.openxmlformats.org/officeDocument/2006/relationships/hyperlink" Target="https://docs.inventree.org/en/stable/part/template/" TargetMode="External" Id="rId42" /><Relationship Type="http://schemas.openxmlformats.org/officeDocument/2006/relationships/hyperlink" Target="https://docs.inventree.org/en/stable/part/template/" TargetMode="External" Id="rId43" /><Relationship Type="http://schemas.openxmlformats.org/officeDocument/2006/relationships/hyperlink" Target="https://docs.inventree.org/en/stable/part/template/" TargetMode="External" Id="rId44" /><Relationship Type="http://schemas.openxmlformats.org/officeDocument/2006/relationships/hyperlink" Target="https://docs.inventree.org/en/stable/part/trackable/" TargetMode="External" Id="rId45" /><Relationship Type="http://schemas.openxmlformats.org/officeDocument/2006/relationships/hyperlink" Target="https://docs.inventree.org/en/stable/part/index/" TargetMode="External" Id="rId46" /><Relationship Type="http://schemas.openxmlformats.org/officeDocument/2006/relationships/hyperlink" Target="https://docs.inventree.org/en/stable/part/index/" TargetMode="External" Id="rId47" /><Relationship Type="http://schemas.openxmlformats.org/officeDocument/2006/relationships/hyperlink" Target="https://docs.inventree.org/en/stable/part/index/" TargetMode="External" Id="rId48" /><Relationship Type="http://schemas.openxmlformats.org/officeDocument/2006/relationships/hyperlink" Target="https://docs.inventree.org/en/stable/part/index/" TargetMode="External" Id="rId49" /><Relationship Type="http://schemas.openxmlformats.org/officeDocument/2006/relationships/hyperlink" Target="https://docs.inventree.org/en/stable/part/index/" TargetMode="External" Id="rId50" /><Relationship Type="http://schemas.openxmlformats.org/officeDocument/2006/relationships/hyperlink" Target="https://docs.inventree.org/en/stable/concepts/units/" TargetMode="External" Id="rId51" /><Relationship Type="http://schemas.openxmlformats.org/officeDocument/2006/relationships/hyperlink" Target="https://docs.inventree.org/en/stable/part/index/" TargetMode="External" Id="rId52" /><Relationship Type="http://schemas.openxmlformats.org/officeDocument/2006/relationships/hyperlink" Target="https://docs.inventree.org/en/stable/concepts/units/" TargetMode="External" Id="rId53" /><Relationship Type="http://schemas.openxmlformats.org/officeDocument/2006/relationships/hyperlink" Target="https://docs.inventree.org/en/stable/concepts/units/" TargetMode="External" Id="rId54" /><Relationship Type="http://schemas.openxmlformats.org/officeDocument/2006/relationships/hyperlink" Target="https://docs.inventree.org/en/stable/part/revision/" TargetMode="External" Id="rId55" /><Relationship Type="http://schemas.openxmlformats.org/officeDocument/2006/relationships/hyperlink" Target="https://docs.inventree.org/en/stable/part/revision/" TargetMode="External" Id="rId56" /><Relationship Type="http://schemas.openxmlformats.org/officeDocument/2006/relationships/hyperlink" Target="https://docs.inventree.org/en/stable/part/revision/" TargetMode="External" Id="rId57" /><Relationship Type="http://schemas.openxmlformats.org/officeDocument/2006/relationships/hyperlink" Target="https://docs.inventree.org/en/stable/part/revision/" TargetMode="External" Id="rId58" /><Relationship Type="http://schemas.openxmlformats.org/officeDocument/2006/relationships/hyperlink" Target="https://docs.inventree.org/en/stable/part/revision/" TargetMode="External" Id="rId59" /><Relationship Type="http://schemas.openxmlformats.org/officeDocument/2006/relationships/hyperlink" Target="https://docs.inventree.org/en/stable/part/revision/" TargetMode="External" Id="rId60" /><Relationship Type="http://schemas.openxmlformats.org/officeDocument/2006/relationships/hyperlink" Target="https://docs.inventree.org/en/stable/part/revision/" TargetMode="External" Id="rId61" /><Relationship Type="http://schemas.openxmlformats.org/officeDocument/2006/relationships/hyperlink" Target="https://docs.inventree.org/en/stable/part/revision/" TargetMode="External" Id="rId62" /><Relationship Type="http://schemas.openxmlformats.org/officeDocument/2006/relationships/hyperlink" Target="https://docs.inventree.org/en/stable/part/index/" TargetMode="External" Id="rId63" /><Relationship Type="http://schemas.openxmlformats.org/officeDocument/2006/relationships/hyperlink" Target="https://docs.inventree.org/en/stable/part/views/" TargetMode="External" Id="rId64" /><Relationship Type="http://schemas.openxmlformats.org/officeDocument/2006/relationships/hyperlink" Target="https://docs.inventree.org/en/stable/part/views/" TargetMode="External" Id="rId65" /><Relationship Type="http://schemas.openxmlformats.org/officeDocument/2006/relationships/hyperlink" Target="https://docs.inventree.org/en/stable/part/views/" TargetMode="External" Id="rId66" /><Relationship Type="http://schemas.openxmlformats.org/officeDocument/2006/relationships/hyperlink" Target="https://docs.inventree.org/en/stable/part/create/" TargetMode="External" Id="rId67" /><Relationship Type="http://schemas.openxmlformats.org/officeDocument/2006/relationships/hyperlink" Target="https://docs.inventree.org/en/stable/part/views/" TargetMode="External" Id="rId68" /><Relationship Type="http://schemas.openxmlformats.org/officeDocument/2006/relationships/hyperlink" Target="https://docs.inventree.org/en/stable/part/virtual/" TargetMode="External" Id="rId69" /><Relationship Type="http://schemas.openxmlformats.org/officeDocument/2006/relationships/hyperlink" Target="https://docs.inventree.org/en/stable/part/template/" TargetMode="External" Id="rId70" /><Relationship Type="http://schemas.openxmlformats.org/officeDocument/2006/relationships/hyperlink" Target="https://docs.inventree.org/en/stable/part/revision/" TargetMode="External" Id="rId71" /><Relationship Type="http://schemas.openxmlformats.org/officeDocument/2006/relationships/hyperlink" Target="https://docs.inventree.org/en/stable/concepts/parameters/" TargetMode="External" Id="rId72" /><Relationship Type="http://schemas.openxmlformats.org/officeDocument/2006/relationships/hyperlink" Target="https://docs.inventree.org/en/stable/concepts/units/" TargetMode="External" Id="rId73" /><Relationship Type="http://schemas.openxmlformats.org/officeDocument/2006/relationships/hyperlink" Target="https://docs.inventree.org/en/stable/part/index/" TargetMode="External" Id="rId74" /><Relationship Type="http://schemas.openxmlformats.org/officeDocument/2006/relationships/table" Target="/xl/tables/table1.xml" Id="rId75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9" min="1" max="1"/>
    <col width="13" customWidth="1" style="9" min="2" max="2"/>
    <col width="34" customWidth="1" style="9" min="3" max="3"/>
    <col width="13" customWidth="1" style="9" min="4" max="4"/>
    <col width="30" customWidth="1" style="9" min="5" max="5"/>
    <col width="32" customWidth="1" style="9" min="6" max="6"/>
  </cols>
  <sheetData>
    <row r="1" ht="17.35" customHeight="1" s="10">
      <c r="A1" s="11" t="inlineStr">
        <is>
          <t>InvenTree Parts — UI / Manual Test Suite Summary</t>
        </is>
      </c>
    </row>
    <row r="2" ht="15" customHeight="1" s="10">
      <c r="A2" s="12" t="inlineStr">
        <is>
          <t>Optimised suite with end-to-end flows. Requirements source: docs.inventree.org/en/stable/part/ and sub-pages (Creating a Part, Part Views, Templates, Revisions, Virtual, Trackable, Test Templates) plus Units, Parameters and Data Import. Target build: InvenTree 1.5.x.</t>
        </is>
      </c>
    </row>
    <row r="4" ht="15" customHeight="1" s="10">
      <c r="A4" s="13" t="inlineStr">
        <is>
          <t>Module</t>
        </is>
      </c>
      <c r="B4" s="13" t="inlineStr">
        <is>
          <t>Test cases</t>
        </is>
      </c>
      <c r="C4" s="13" t="inlineStr">
        <is>
          <t>Positive</t>
        </is>
      </c>
      <c r="D4" s="13" t="inlineStr">
        <is>
          <t>Negative</t>
        </is>
      </c>
      <c r="E4" s="13" t="inlineStr">
        <is>
          <t>Boundary</t>
        </is>
      </c>
    </row>
    <row r="5" ht="15" customHeight="1" s="10">
      <c r="A5" s="14" t="inlineStr">
        <is>
          <t>Part Creation</t>
        </is>
      </c>
      <c r="B5" s="14">
        <f>COUNTIF('Test Cases'!$B:$B,$A5)</f>
        <v/>
      </c>
      <c r="C5" s="14">
        <f>COUNTIFS('Test Cases'!$B:$B,$A5,'Test Cases'!$D:$D,"Positive")</f>
        <v/>
      </c>
      <c r="D5" s="14">
        <f>COUNTIFS('Test Cases'!$B:$B,$A5,'Test Cases'!$D:$D,"Negative")</f>
        <v/>
      </c>
      <c r="E5" s="14">
        <f>COUNTIFS('Test Cases'!$B:$B,$A5,'Test Cases'!$D:$D,"Boundary")</f>
        <v/>
      </c>
    </row>
    <row r="6" ht="15" customHeight="1" s="10">
      <c r="A6" s="14" t="inlineStr">
        <is>
          <t>Part Import</t>
        </is>
      </c>
      <c r="B6" s="14">
        <f>COUNTIF('Test Cases'!$B:$B,$A6)</f>
        <v/>
      </c>
      <c r="C6" s="14">
        <f>COUNTIFS('Test Cases'!$B:$B,$A6,'Test Cases'!$D:$D,"Positive")</f>
        <v/>
      </c>
      <c r="D6" s="14">
        <f>COUNTIFS('Test Cases'!$B:$B,$A6,'Test Cases'!$D:$D,"Negative")</f>
        <v/>
      </c>
      <c r="E6" s="14">
        <f>COUNTIFS('Test Cases'!$B:$B,$A6,'Test Cases'!$D:$D,"Boundary")</f>
        <v/>
      </c>
    </row>
    <row r="7" ht="15" customHeight="1" s="10">
      <c r="A7" s="14" t="inlineStr">
        <is>
          <t>Part Detail</t>
        </is>
      </c>
      <c r="B7" s="14">
        <f>COUNTIF('Test Cases'!$B:$B,$A7)</f>
        <v/>
      </c>
      <c r="C7" s="14">
        <f>COUNTIFS('Test Cases'!$B:$B,$A7,'Test Cases'!$D:$D,"Positive")</f>
        <v/>
      </c>
      <c r="D7" s="14">
        <f>COUNTIFS('Test Cases'!$B:$B,$A7,'Test Cases'!$D:$D,"Negative")</f>
        <v/>
      </c>
      <c r="E7" s="14">
        <f>COUNTIFS('Test Cases'!$B:$B,$A7,'Test Cases'!$D:$D,"Boundary")</f>
        <v/>
      </c>
    </row>
    <row r="8" ht="15" customHeight="1" s="10">
      <c r="A8" s="14" t="inlineStr">
        <is>
          <t>Detail Tabs</t>
        </is>
      </c>
      <c r="B8" s="14">
        <f>COUNTIF('Test Cases'!$B:$B,$A8)</f>
        <v/>
      </c>
      <c r="C8" s="14">
        <f>COUNTIFS('Test Cases'!$B:$B,$A8,'Test Cases'!$D:$D,"Positive")</f>
        <v/>
      </c>
      <c r="D8" s="14">
        <f>COUNTIFS('Test Cases'!$B:$B,$A8,'Test Cases'!$D:$D,"Negative")</f>
        <v/>
      </c>
      <c r="E8" s="14">
        <f>COUNTIFS('Test Cases'!$B:$B,$A8,'Test Cases'!$D:$D,"Boundary")</f>
        <v/>
      </c>
    </row>
    <row r="9" ht="15" customHeight="1" s="10">
      <c r="A9" s="14" t="inlineStr">
        <is>
          <t>Categories</t>
        </is>
      </c>
      <c r="B9" s="14">
        <f>COUNTIF('Test Cases'!$B:$B,$A9)</f>
        <v/>
      </c>
      <c r="C9" s="14">
        <f>COUNTIFS('Test Cases'!$B:$B,$A9,'Test Cases'!$D:$D,"Positive")</f>
        <v/>
      </c>
      <c r="D9" s="14">
        <f>COUNTIFS('Test Cases'!$B:$B,$A9,'Test Cases'!$D:$D,"Negative")</f>
        <v/>
      </c>
      <c r="E9" s="14">
        <f>COUNTIFS('Test Cases'!$B:$B,$A9,'Test Cases'!$D:$D,"Boundary")</f>
        <v/>
      </c>
    </row>
    <row r="10" ht="15" customHeight="1" s="10">
      <c r="A10" s="14" t="inlineStr">
        <is>
          <t>Parameters</t>
        </is>
      </c>
      <c r="B10" s="14">
        <f>COUNTIF('Test Cases'!$B:$B,$A10)</f>
        <v/>
      </c>
      <c r="C10" s="14">
        <f>COUNTIFS('Test Cases'!$B:$B,$A10,'Test Cases'!$D:$D,"Positive")</f>
        <v/>
      </c>
      <c r="D10" s="14">
        <f>COUNTIFS('Test Cases'!$B:$B,$A10,'Test Cases'!$D:$D,"Negative")</f>
        <v/>
      </c>
      <c r="E10" s="14">
        <f>COUNTIFS('Test Cases'!$B:$B,$A10,'Test Cases'!$D:$D,"Boundary")</f>
        <v/>
      </c>
    </row>
    <row r="11" ht="15" customHeight="1" s="10">
      <c r="A11" s="14" t="inlineStr">
        <is>
          <t>Part Attributes</t>
        </is>
      </c>
      <c r="B11" s="14">
        <f>COUNTIF('Test Cases'!$B:$B,$A11)</f>
        <v/>
      </c>
      <c r="C11" s="14">
        <f>COUNTIFS('Test Cases'!$B:$B,$A11,'Test Cases'!$D:$D,"Positive")</f>
        <v/>
      </c>
      <c r="D11" s="14">
        <f>COUNTIFS('Test Cases'!$B:$B,$A11,'Test Cases'!$D:$D,"Negative")</f>
        <v/>
      </c>
      <c r="E11" s="14">
        <f>COUNTIFS('Test Cases'!$B:$B,$A11,'Test Cases'!$D:$D,"Boundary")</f>
        <v/>
      </c>
    </row>
    <row r="12" ht="15" customHeight="1" s="10">
      <c r="A12" s="14" t="inlineStr">
        <is>
          <t>Units of Measure</t>
        </is>
      </c>
      <c r="B12" s="14">
        <f>COUNTIF('Test Cases'!$B:$B,$A12)</f>
        <v/>
      </c>
      <c r="C12" s="14">
        <f>COUNTIFS('Test Cases'!$B:$B,$A12,'Test Cases'!$D:$D,"Positive")</f>
        <v/>
      </c>
      <c r="D12" s="14">
        <f>COUNTIFS('Test Cases'!$B:$B,$A12,'Test Cases'!$D:$D,"Negative")</f>
        <v/>
      </c>
      <c r="E12" s="14">
        <f>COUNTIFS('Test Cases'!$B:$B,$A12,'Test Cases'!$D:$D,"Boundary")</f>
        <v/>
      </c>
    </row>
    <row r="13" ht="15" customHeight="1" s="10">
      <c r="A13" s="14" t="inlineStr">
        <is>
          <t>Revisions</t>
        </is>
      </c>
      <c r="B13" s="14">
        <f>COUNTIF('Test Cases'!$B:$B,$A13)</f>
        <v/>
      </c>
      <c r="C13" s="14">
        <f>COUNTIFS('Test Cases'!$B:$B,$A13,'Test Cases'!$D:$D,"Positive")</f>
        <v/>
      </c>
      <c r="D13" s="14">
        <f>COUNTIFS('Test Cases'!$B:$B,$A13,'Test Cases'!$D:$D,"Negative")</f>
        <v/>
      </c>
      <c r="E13" s="14">
        <f>COUNTIFS('Test Cases'!$B:$B,$A13,'Test Cases'!$D:$D,"Boundary")</f>
        <v/>
      </c>
    </row>
    <row r="14" ht="15" customHeight="1" s="10">
      <c r="A14" s="14" t="inlineStr">
        <is>
          <t>Negative &amp; Boundary</t>
        </is>
      </c>
      <c r="B14" s="14">
        <f>COUNTIF('Test Cases'!$B:$B,$A14)</f>
        <v/>
      </c>
      <c r="C14" s="14">
        <f>COUNTIFS('Test Cases'!$B:$B,$A14,'Test Cases'!$D:$D,"Positive")</f>
        <v/>
      </c>
      <c r="D14" s="14">
        <f>COUNTIFS('Test Cases'!$B:$B,$A14,'Test Cases'!$D:$D,"Negative")</f>
        <v/>
      </c>
      <c r="E14" s="14">
        <f>COUNTIFS('Test Cases'!$B:$B,$A14,'Test Cases'!$D:$D,"Boundary")</f>
        <v/>
      </c>
    </row>
    <row r="15" ht="15" customHeight="1" s="10">
      <c r="A15" s="14" t="inlineStr">
        <is>
          <t>End-to-End Flows</t>
        </is>
      </c>
      <c r="B15" s="14">
        <f>COUNTIF('Test Cases'!$B:$B,$A15)</f>
        <v/>
      </c>
      <c r="C15" s="14">
        <f>COUNTIFS('Test Cases'!$B:$B,$A15,'Test Cases'!$D:$D,"Positive")</f>
        <v/>
      </c>
      <c r="D15" s="14">
        <f>COUNTIFS('Test Cases'!$B:$B,$A15,'Test Cases'!$D:$D,"Negative")</f>
        <v/>
      </c>
      <c r="E15" s="14">
        <f>COUNTIFS('Test Cases'!$B:$B,$A15,'Test Cases'!$D:$D,"Boundary")</f>
        <v/>
      </c>
    </row>
    <row r="16" ht="15" customHeight="1" s="10">
      <c r="A16" s="15" t="inlineStr">
        <is>
          <t>Total</t>
        </is>
      </c>
      <c r="B16" s="15">
        <f>SUM(B5:B15)</f>
        <v/>
      </c>
      <c r="C16" s="15">
        <f>SUM(C5:C15)</f>
        <v/>
      </c>
      <c r="D16" s="15">
        <f>SUM(D5:D15)</f>
        <v/>
      </c>
      <c r="E16" s="15">
        <f>SUM(E5:E15)</f>
        <v/>
      </c>
    </row>
    <row r="18" ht="15" customHeight="1" s="10">
      <c r="A18" s="13" t="inlineStr">
        <is>
          <t>Execution status</t>
        </is>
      </c>
      <c r="B18" s="13" t="inlineStr">
        <is>
          <t>Test cases</t>
        </is>
      </c>
    </row>
    <row r="19" ht="15" customHeight="1" s="10">
      <c r="A19" s="14" t="inlineStr">
        <is>
          <t>Not Run</t>
        </is>
      </c>
      <c r="B19" s="14">
        <f>COUNTIF('Test Cases'!$L:$L,$A19)</f>
        <v/>
      </c>
    </row>
    <row r="20" ht="15" customHeight="1" s="10">
      <c r="A20" s="14" t="inlineStr">
        <is>
          <t>Pass</t>
        </is>
      </c>
      <c r="B20" s="14">
        <f>COUNTIF('Test Cases'!$L:$L,$A20)</f>
        <v/>
      </c>
    </row>
    <row r="21" ht="15" customHeight="1" s="10">
      <c r="A21" s="14" t="inlineStr">
        <is>
          <t>Fail</t>
        </is>
      </c>
      <c r="B21" s="14">
        <f>COUNTIF('Test Cases'!$L:$L,$A21)</f>
        <v/>
      </c>
    </row>
    <row r="22" ht="15" customHeight="1" s="10">
      <c r="A22" s="14" t="inlineStr">
        <is>
          <t>Blocked</t>
        </is>
      </c>
      <c r="B22" s="14">
        <f>COUNTIF('Test Cases'!$L:$L,$A22)</f>
        <v/>
      </c>
    </row>
    <row r="25" ht="15" customHeight="1" s="10">
      <c r="A25" s="13" t="inlineStr">
        <is>
          <t>Priority</t>
        </is>
      </c>
      <c r="B25" s="13" t="inlineStr">
        <is>
          <t>Test cases</t>
        </is>
      </c>
    </row>
    <row r="26" ht="15" customHeight="1" s="10">
      <c r="A26" s="14" t="inlineStr">
        <is>
          <t>P1</t>
        </is>
      </c>
      <c r="B26" s="14">
        <f>COUNTIF('Test Cases'!$E:$E,$A26)</f>
        <v/>
      </c>
    </row>
    <row r="27" ht="15" customHeight="1" s="10">
      <c r="A27" s="14" t="inlineStr">
        <is>
          <t>P2</t>
        </is>
      </c>
      <c r="B27" s="14">
        <f>COUNTIF('Test Cases'!$E:$E,$A27)</f>
        <v/>
      </c>
    </row>
    <row r="28" ht="15" customHeight="1" s="10">
      <c r="A28" s="14" t="inlineStr">
        <is>
          <t>P3</t>
        </is>
      </c>
      <c r="B28" s="14">
        <f>COUNTIF('Test Cases'!$E:$E,$A28)</f>
        <v/>
      </c>
    </row>
    <row r="30" ht="15" customHeight="1" s="10">
      <c r="A30" s="16" t="inlineStr">
        <is>
          <t>Release execution plan</t>
        </is>
      </c>
    </row>
    <row r="31" ht="15" customHeight="1" s="10">
      <c r="A31" s="13" t="inlineStr">
        <is>
          <t>Release</t>
        </is>
      </c>
      <c r="B31" s="13" t="inlineStr">
        <is>
          <t>Cadence</t>
        </is>
      </c>
      <c r="C31" s="13" t="inlineStr">
        <is>
          <t>Scope</t>
        </is>
      </c>
      <c r="D31" s="13" t="inlineStr">
        <is>
          <t>Test cases</t>
        </is>
      </c>
      <c r="E31" s="13" t="inlineStr">
        <is>
          <t>Entry criteria</t>
        </is>
      </c>
      <c r="F31" s="13" t="inlineStr">
        <is>
          <t>Exit criteria</t>
        </is>
      </c>
    </row>
    <row r="32" ht="42" customHeight="1" s="10">
      <c r="A32" s="14" t="inlineStr">
        <is>
          <t>Minor release</t>
        </is>
      </c>
      <c r="B32" s="14" t="inlineStr">
        <is>
          <t>Bi-weekly</t>
        </is>
      </c>
      <c r="C32" s="14" t="inlineStr">
        <is>
          <t>All P1 cases (includes core E2E flows); add P2 cases only for modules changed in the release</t>
        </is>
      </c>
      <c r="D32" s="14">
        <f>COUNTIF('Test Cases'!$E:$E,"P1")</f>
        <v/>
      </c>
      <c r="E32" s="14" t="inlineStr">
        <is>
          <t>Build deployed to QA; release notes available; P1 cases pass on smoke</t>
        </is>
      </c>
      <c r="F32" s="14" t="inlineStr">
        <is>
          <t>All P1 pass; no open Critical/High defects; fixed defects retested</t>
        </is>
      </c>
    </row>
    <row r="33" ht="42" customHeight="1" s="10">
      <c r="A33" s="14" t="inlineStr">
        <is>
          <t>Major release</t>
        </is>
      </c>
      <c r="B33" s="14" t="inlineStr">
        <is>
          <t>Quarterly</t>
        </is>
      </c>
      <c r="C33" s="14" t="inlineStr">
        <is>
          <t>Full pack, including all E2E flows, run with default and non-default global settings (see Observations)</t>
        </is>
      </c>
      <c r="D33" s="14">
        <f>COUNTA('Test Cases'!$A:$A)-1</f>
        <v/>
      </c>
      <c r="E33" s="14" t="inlineStr">
        <is>
          <t>Feature-complete build on QA; DB migrations applied; P1 cases pass on smoke</t>
        </is>
      </c>
      <c r="F33" s="14" t="inlineStr">
        <is>
          <t>All cases executed; pass rate &gt;= 98%; no open Critical/High defects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N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16" customWidth="1" style="9" min="2" max="2"/>
    <col width="40" customWidth="1" style="9" min="3" max="3"/>
    <col width="10" customWidth="1" style="9" min="4" max="4"/>
    <col width="8" customWidth="1" style="9" min="5" max="5"/>
    <col width="30" customWidth="1" style="9" min="6" max="7"/>
    <col width="28" customWidth="1" style="9" min="8" max="8"/>
    <col width="34" customWidth="1" style="9" min="9" max="9"/>
    <col width="44" customWidth="1" style="9" min="10" max="10"/>
    <col width="28" customWidth="1" style="9" min="11" max="11"/>
    <col width="11" customWidth="1" style="9" min="12" max="12"/>
    <col width="24" customWidth="1" style="9" min="13" max="13"/>
    <col width="22" customWidth="1" style="9" min="14" max="14"/>
  </cols>
  <sheetData>
    <row r="1" ht="15" customHeight="1" s="10">
      <c r="A1" s="13" t="inlineStr">
        <is>
          <t>TC ID</t>
        </is>
      </c>
      <c r="B1" s="13" t="inlineStr">
        <is>
          <t>Module</t>
        </is>
      </c>
      <c r="C1" s="13" t="inlineStr">
        <is>
          <t>Title / Scenario</t>
        </is>
      </c>
      <c r="D1" s="13" t="inlineStr">
        <is>
          <t>Type</t>
        </is>
      </c>
      <c r="E1" s="13" t="inlineStr">
        <is>
          <t>Priority</t>
        </is>
      </c>
      <c r="F1" s="13" t="inlineStr">
        <is>
          <t>Preconditions</t>
        </is>
      </c>
      <c r="G1" s="13" t="inlineStr">
        <is>
          <t>Navigation</t>
        </is>
      </c>
      <c r="H1" s="13" t="inlineStr">
        <is>
          <t>Test Data</t>
        </is>
      </c>
      <c r="I1" s="13" t="inlineStr">
        <is>
          <t>Steps</t>
        </is>
      </c>
      <c r="J1" s="13" t="inlineStr">
        <is>
          <t>Expected Result</t>
        </is>
      </c>
      <c r="K1" s="13" t="inlineStr">
        <is>
          <t>Actual Result</t>
        </is>
      </c>
      <c r="L1" s="13" t="inlineStr">
        <is>
          <t>Status</t>
        </is>
      </c>
      <c r="M1" s="13" t="inlineStr">
        <is>
          <t>Remarks</t>
        </is>
      </c>
      <c r="N1" s="13" t="inlineStr">
        <is>
          <t>Requirement Source</t>
        </is>
      </c>
    </row>
    <row r="2" ht="32.8" customHeight="1" s="10">
      <c r="A2" s="14" t="inlineStr">
        <is>
          <t>UI-CRT-001</t>
        </is>
      </c>
      <c r="B2" s="14" t="inlineStr">
        <is>
          <t>Part Creation</t>
        </is>
      </c>
      <c r="C2" s="14" t="inlineStr">
        <is>
          <t>Create part with required field only</t>
        </is>
      </c>
      <c r="D2" s="14" t="inlineStr">
        <is>
          <t>Positive</t>
        </is>
      </c>
      <c r="E2" s="14" t="inlineStr">
        <is>
          <t>P1</t>
        </is>
      </c>
      <c r="F2" s="14" t="inlineStr">
        <is>
          <t>Logged in as user with Part view/add/change/delete roles</t>
        </is>
      </c>
      <c r="G2" s="14" t="inlineStr">
        <is>
          <t>Parts &gt; Parts table &gt; Add Parts &gt; Create Part</t>
        </is>
      </c>
      <c r="H2" s="14" t="inlineStr">
        <is>
          <t>Name='UI-Resistor-01'</t>
        </is>
      </c>
      <c r="I2" s="14" t="inlineStr">
        <is>
          <t>1. Add Parts &gt; Create Part
2. Enter Name
3. Submit</t>
        </is>
      </c>
      <c r="J2" s="14" t="inlineStr">
        <is>
          <t>Redirects to new part detail page; part listed in Parts table</t>
        </is>
      </c>
      <c r="K2" s="17" t="n"/>
      <c r="L2" s="17" t="inlineStr">
        <is>
          <t>Not Run</t>
        </is>
      </c>
      <c r="M2" s="14" t="n"/>
      <c r="N2" s="18" t="inlineStr">
        <is>
          <t>part/create</t>
        </is>
      </c>
    </row>
    <row r="3" ht="43.25" customHeight="1" s="10">
      <c r="A3" s="14" t="inlineStr">
        <is>
          <t>UI-CRT-002</t>
        </is>
      </c>
      <c r="B3" s="14" t="inlineStr">
        <is>
          <t>Part Creation</t>
        </is>
      </c>
      <c r="C3" s="14" t="inlineStr">
        <is>
          <t>Create part with all optional fields</t>
        </is>
      </c>
      <c r="D3" s="14" t="inlineStr">
        <is>
          <t>Positive</t>
        </is>
      </c>
      <c r="E3" s="14" t="inlineStr">
        <is>
          <t>P1</t>
        </is>
      </c>
      <c r="F3" s="14" t="inlineStr">
        <is>
          <t>Logged in as user with Part view/add/change/delete roles; category and stock location exist</t>
        </is>
      </c>
      <c r="G3" s="14" t="inlineStr">
        <is>
          <t>Parts &gt; Parts table &gt; Create Part</t>
        </is>
      </c>
      <c r="H3" s="14" t="inlineStr">
        <is>
          <t>Category, IPN, Description, Revision, Keywords, Units=m, Link, Min/Max stock, Default location, Notes</t>
        </is>
      </c>
      <c r="I3" s="14" t="inlineStr">
        <is>
          <t>1. Fill every field
2. Submit
3. Open Details panel</t>
        </is>
      </c>
      <c r="J3" s="14" t="inlineStr">
        <is>
          <t>All values saved and displayed as entered; breadcrumb shows category path</t>
        </is>
      </c>
      <c r="K3" s="17" t="n"/>
      <c r="L3" s="17" t="inlineStr">
        <is>
          <t>Not Run</t>
        </is>
      </c>
      <c r="M3" s="14" t="n"/>
      <c r="N3" s="18" t="inlineStr">
        <is>
          <t>part/create</t>
        </is>
      </c>
    </row>
    <row r="4" ht="32.8" customHeight="1" s="10">
      <c r="A4" s="14" t="inlineStr">
        <is>
          <t>UI-CRT-003</t>
        </is>
      </c>
      <c r="B4" s="14" t="inlineStr">
        <is>
          <t>Part Creation</t>
        </is>
      </c>
      <c r="C4" s="14" t="inlineStr">
        <is>
          <t>Form validation: required Name and invalid Link</t>
        </is>
      </c>
      <c r="D4" s="14" t="inlineStr">
        <is>
          <t>Negative</t>
        </is>
      </c>
      <c r="E4" s="14" t="inlineStr">
        <is>
          <t>P1</t>
        </is>
      </c>
      <c r="F4" s="14" t="inlineStr">
        <is>
          <t>Logged in as user with Part view/add/change/delete roles</t>
        </is>
      </c>
      <c r="G4" s="14" t="inlineStr">
        <is>
          <t>Parts &gt; Parts table &gt; Create Part</t>
        </is>
      </c>
      <c r="H4" s="14" t="inlineStr">
        <is>
          <t>Name blank; Link='not a url'</t>
        </is>
      </c>
      <c r="I4" s="14" t="inlineStr">
        <is>
          <t>1. Submit with Name blank
2. Enter Name, set invalid Link, submit
3. Correct Link, submit</t>
        </is>
      </c>
      <c r="J4" s="14" t="inlineStr">
        <is>
          <t>Steps 1-2: inline field errors, entered data kept, no part created. Step 3: part created</t>
        </is>
      </c>
      <c r="K4" s="17" t="n"/>
      <c r="L4" s="17" t="inlineStr">
        <is>
          <t>Not Run</t>
        </is>
      </c>
      <c r="M4" s="14" t="n"/>
      <c r="N4" s="18" t="inlineStr">
        <is>
          <t>part/create</t>
        </is>
      </c>
    </row>
    <row r="5" ht="53.7" customHeight="1" s="10">
      <c r="A5" s="14" t="inlineStr">
        <is>
          <t>UI-CRT-004</t>
        </is>
      </c>
      <c r="B5" s="14" t="inlineStr">
        <is>
          <t>Part Creation</t>
        </is>
      </c>
      <c r="C5" s="14" t="inlineStr">
        <is>
          <t>Initial stock on create (setting-dependent)</t>
        </is>
      </c>
      <c r="D5" s="14" t="inlineStr">
        <is>
          <t>Positive</t>
        </is>
      </c>
      <c r="E5" s="14" t="inlineStr">
        <is>
          <t>P1</t>
        </is>
      </c>
      <c r="F5" s="14" t="inlineStr">
        <is>
          <t>Logged in as user with Part view/add/change/delete roles; stock location exists</t>
        </is>
      </c>
      <c r="G5" s="14" t="inlineStr">
        <is>
          <t>Parts &gt; Parts table &gt; Create Part</t>
        </is>
      </c>
      <c r="H5" s="14" t="inlineStr">
        <is>
          <t>Qty=25, Location=Store A</t>
        </is>
      </c>
      <c r="I5" s="14" t="inlineStr">
        <is>
          <t>1. With 'Create Initial Stock' setting OFF, open form
2. Turn setting ON, reopen form
3. Tick Create Initial Stock, enter qty and location, submit</t>
        </is>
      </c>
      <c r="J5" s="14" t="inlineStr">
        <is>
          <t>OFF: no initial stock section. ON: section shown; one stock item of 25 created at Store A</t>
        </is>
      </c>
      <c r="K5" s="17" t="n"/>
      <c r="L5" s="17" t="inlineStr">
        <is>
          <t>Not Run</t>
        </is>
      </c>
      <c r="M5" s="14" t="n"/>
      <c r="N5" s="18" t="inlineStr">
        <is>
          <t>part/create</t>
        </is>
      </c>
    </row>
    <row r="6" ht="53.7" customHeight="1" s="10">
      <c r="A6" s="14" t="inlineStr">
        <is>
          <t>UI-CRT-005</t>
        </is>
      </c>
      <c r="B6" s="14" t="inlineStr">
        <is>
          <t>Part Creation</t>
        </is>
      </c>
      <c r="C6" s="14" t="inlineStr">
        <is>
          <t>Supplier and manufacturer data on create (Purchaseable only)</t>
        </is>
      </c>
      <c r="D6" s="14" t="inlineStr">
        <is>
          <t>Positive</t>
        </is>
      </c>
      <c r="E6" s="14" t="inlineStr">
        <is>
          <t>P1</t>
        </is>
      </c>
      <c r="F6" s="14" t="inlineStr">
        <is>
          <t>Logged in as user with Part view/add/change/delete roles; supplier and manufacturer companies exist</t>
        </is>
      </c>
      <c r="G6" s="14" t="inlineStr">
        <is>
          <t>Parts &gt; Parts table &gt; Create Part</t>
        </is>
      </c>
      <c r="H6" s="14" t="inlineStr">
        <is>
          <t>Supplier=ACME, SKU=AC-100, Manufacturer=MfgCo, MPN=M-100</t>
        </is>
      </c>
      <c r="I6" s="14" t="inlineStr">
        <is>
          <t>1. Toggle Purchaseable off/on and observe form
2. With Purchaseable on, tick Add Supplier Data, fill, submit
3. Open Suppliers tab</t>
        </is>
      </c>
      <c r="J6" s="14" t="inlineStr">
        <is>
          <t>'Add Supplier Data' only offered when Purchaseable; supplier part AC-100 and manufacturer part M-100 linked to the new part</t>
        </is>
      </c>
      <c r="K6" s="17" t="n"/>
      <c r="L6" s="17" t="inlineStr">
        <is>
          <t>Not Run</t>
        </is>
      </c>
      <c r="M6" s="14" t="n"/>
      <c r="N6" s="18" t="inlineStr">
        <is>
          <t>part/create</t>
        </is>
      </c>
    </row>
    <row r="7" ht="22.35" customHeight="1" s="10">
      <c r="A7" s="14" t="inlineStr">
        <is>
          <t>UI-CRT-006</t>
        </is>
      </c>
      <c r="B7" s="14" t="inlineStr">
        <is>
          <t>Part Creation</t>
        </is>
      </c>
      <c r="C7" s="14" t="inlineStr">
        <is>
          <t>Create part from a category pre-fills category</t>
        </is>
      </c>
      <c r="D7" s="14" t="inlineStr">
        <is>
          <t>Positive</t>
        </is>
      </c>
      <c r="E7" s="14" t="inlineStr">
        <is>
          <t>P2</t>
        </is>
      </c>
      <c r="F7" s="14" t="inlineStr">
        <is>
          <t>Logged in as user with Part view/add/change/delete roles</t>
        </is>
      </c>
      <c r="G7" s="14" t="inlineStr">
        <is>
          <t>Category page &gt; Add Parts &gt; Create Part</t>
        </is>
      </c>
      <c r="H7" s="14" t="inlineStr">
        <is>
          <t>Category 'Resistors'</t>
        </is>
      </c>
      <c r="I7" s="14" t="inlineStr">
        <is>
          <t>1. Open category
2. Create part</t>
        </is>
      </c>
      <c r="J7" s="14" t="inlineStr">
        <is>
          <t>Category field pre-filled; part listed in that category</t>
        </is>
      </c>
      <c r="K7" s="17" t="n"/>
      <c r="L7" s="17" t="inlineStr">
        <is>
          <t>Not Run</t>
        </is>
      </c>
      <c r="M7" s="14" t="n"/>
      <c r="N7" s="18" t="inlineStr">
        <is>
          <t>part/create</t>
        </is>
      </c>
    </row>
    <row r="8" ht="32.8" customHeight="1" s="10">
      <c r="A8" s="14" t="inlineStr">
        <is>
          <t>UI-CRT-007</t>
        </is>
      </c>
      <c r="B8" s="14" t="inlineStr">
        <is>
          <t>Part Creation</t>
        </is>
      </c>
      <c r="C8" s="14" t="inlineStr">
        <is>
          <t>Part image: upload, select existing, delete</t>
        </is>
      </c>
      <c r="D8" s="14" t="inlineStr">
        <is>
          <t>Positive</t>
        </is>
      </c>
      <c r="E8" s="14" t="inlineStr">
        <is>
          <t>P2</t>
        </is>
      </c>
      <c r="F8" s="14" t="inlineStr">
        <is>
          <t>Logged in as user with Part view/add/change/delete roles; PNG/JPG file</t>
        </is>
      </c>
      <c r="G8" s="14" t="inlineStr">
        <is>
          <t>Part detail page &gt; image hover menu</t>
        </is>
      </c>
      <c r="H8" s="14" t="inlineStr">
        <is>
          <t>image.png</t>
        </is>
      </c>
      <c r="I8" s="14" t="inlineStr">
        <is>
          <t>1. Upload new image
2. Select from existing images
3. Delete image</t>
        </is>
      </c>
      <c r="J8" s="14" t="inlineStr">
        <is>
          <t>Image and table thumbnail update each time; placeholder shown after delete</t>
        </is>
      </c>
      <c r="K8" s="17" t="n"/>
      <c r="L8" s="17" t="inlineStr">
        <is>
          <t>Not Run</t>
        </is>
      </c>
      <c r="M8" s="14" t="n"/>
      <c r="N8" s="18" t="inlineStr">
        <is>
          <t>part/index</t>
        </is>
      </c>
    </row>
    <row r="9" ht="22.35" customHeight="1" s="10">
      <c r="A9" s="14" t="inlineStr">
        <is>
          <t>UI-CRT-008</t>
        </is>
      </c>
      <c r="B9" s="14" t="inlineStr">
        <is>
          <t>Part Creation</t>
        </is>
      </c>
      <c r="C9" s="14" t="inlineStr">
        <is>
          <t>Create/import options hidden without Part create permission</t>
        </is>
      </c>
      <c r="D9" s="14" t="inlineStr">
        <is>
          <t>Negative</t>
        </is>
      </c>
      <c r="E9" s="14" t="inlineStr">
        <is>
          <t>P1</t>
        </is>
      </c>
      <c r="F9" s="14" t="inlineStr">
        <is>
          <t>User with Part view role only</t>
        </is>
      </c>
      <c r="G9" s="14" t="inlineStr">
        <is>
          <t>Parts &gt; Parts table</t>
        </is>
      </c>
      <c r="H9" s="14" t="inlineStr">
        <is>
          <t>-</t>
        </is>
      </c>
      <c r="I9" s="14" t="inlineStr">
        <is>
          <t>1. Log in as view-only user
2. Open Parts</t>
        </is>
      </c>
      <c r="J9" s="14" t="inlineStr">
        <is>
          <t>'Add Parts' menu not displayed</t>
        </is>
      </c>
      <c r="K9" s="17" t="n"/>
      <c r="L9" s="17" t="inlineStr">
        <is>
          <t>Not Run</t>
        </is>
      </c>
      <c r="M9" s="14" t="n"/>
      <c r="N9" s="18" t="inlineStr">
        <is>
          <t>part/create</t>
        </is>
      </c>
    </row>
    <row r="10" ht="53.7" customHeight="1" s="10">
      <c r="A10" s="14" t="inlineStr">
        <is>
          <t>UI-IMP-001</t>
        </is>
      </c>
      <c r="B10" s="14" t="inlineStr">
        <is>
          <t>Part Import</t>
        </is>
      </c>
      <c r="C10" s="14" t="inlineStr">
        <is>
          <t>Import parts from CSV with column mapping</t>
        </is>
      </c>
      <c r="D10" s="14" t="inlineStr">
        <is>
          <t>Positive</t>
        </is>
      </c>
      <c r="E10" s="14" t="inlineStr">
        <is>
          <t>P1</t>
        </is>
      </c>
      <c r="F10" s="14" t="inlineStr">
        <is>
          <t>Staff user with Part change permission</t>
        </is>
      </c>
      <c r="G10" s="14" t="inlineStr">
        <is>
          <t>Parts &gt; Parts table &gt; Add Parts &gt; Import from File</t>
        </is>
      </c>
      <c r="H10" s="14" t="inlineStr">
        <is>
          <t>parts.csv: 5 rows; headers 'Name', 'Desc', 'Category'</t>
        </is>
      </c>
      <c r="I10" s="14" t="inlineStr">
        <is>
          <t>1. Upload file
2. Review auto-mapping; map 'Desc' manually
3. Load data
4. Select all rows &gt; Import</t>
        </is>
      </c>
      <c r="J10" s="14" t="inlineStr">
        <is>
          <t>Matching headers auto-mapped; manual mapping accepted; all rows 'Imported'; parts visible in table</t>
        </is>
      </c>
      <c r="K10" s="17" t="n"/>
      <c r="L10" s="17" t="inlineStr">
        <is>
          <t>Not Run</t>
        </is>
      </c>
      <c r="M10" s="14" t="n"/>
      <c r="N10" s="18" t="inlineStr">
        <is>
          <t>concepts/data_import</t>
        </is>
      </c>
    </row>
    <row r="11" ht="53.7" customHeight="1" s="10">
      <c r="A11" s="14" t="inlineStr">
        <is>
          <t>UI-IMP-002</t>
        </is>
      </c>
      <c r="B11" s="14" t="inlineStr">
        <is>
          <t>Part Import</t>
        </is>
      </c>
      <c r="C11" s="14" t="inlineStr">
        <is>
          <t>Invalid rows flagged, corrected or removed</t>
        </is>
      </c>
      <c r="D11" s="14" t="inlineStr">
        <is>
          <t>Negative</t>
        </is>
      </c>
      <c r="E11" s="14" t="inlineStr">
        <is>
          <t>P1</t>
        </is>
      </c>
      <c r="F11" s="14" t="inlineStr">
        <is>
          <t>As UI-IMP-001</t>
        </is>
      </c>
      <c r="G11" s="14" t="inlineStr">
        <is>
          <t>Parts &gt; Parts table &gt; Import from File</t>
        </is>
      </c>
      <c r="H11" s="14" t="inlineStr">
        <is>
          <t>Rows with blank Name, unknown category ID</t>
        </is>
      </c>
      <c r="I11" s="14" t="inlineStr">
        <is>
          <t>1. Upload and map
2. Review row status
3. Fix one invalid row and re-process
4. Delete the other
5. Import</t>
        </is>
      </c>
      <c r="J11" s="14" t="inlineStr">
        <is>
          <t>Invalid rows show 'Error' with message; corrected row imports; deleted row not imported</t>
        </is>
      </c>
      <c r="K11" s="17" t="n"/>
      <c r="L11" s="17" t="inlineStr">
        <is>
          <t>Not Run</t>
        </is>
      </c>
      <c r="M11" s="14" t="n"/>
      <c r="N11" s="18" t="inlineStr">
        <is>
          <t>concepts/data_import</t>
        </is>
      </c>
    </row>
    <row r="12" ht="53.7" customHeight="1" s="10">
      <c r="A12" s="14" t="inlineStr">
        <is>
          <t>UI-IMP-003</t>
        </is>
      </c>
      <c r="B12" s="14" t="inlineStr">
        <is>
          <t>Part Import</t>
        </is>
      </c>
      <c r="C12" s="14" t="inlineStr">
        <is>
          <t>Update existing parts via export &gt; edit &gt; import</t>
        </is>
      </c>
      <c r="D12" s="14" t="inlineStr">
        <is>
          <t>Positive</t>
        </is>
      </c>
      <c r="E12" s="14" t="inlineStr">
        <is>
          <t>P2</t>
        </is>
      </c>
      <c r="F12" s="14" t="inlineStr">
        <is>
          <t>Staff user; parts exist</t>
        </is>
      </c>
      <c r="G12" s="14" t="inlineStr">
        <is>
          <t>Admin Center &gt; Import data</t>
        </is>
      </c>
      <c r="H12" s="14" t="inlineStr">
        <is>
          <t>Exported CSV with ID column, descriptions edited</t>
        </is>
      </c>
      <c r="I12" s="14" t="inlineStr">
        <is>
          <t>1. Export parts
2. Edit descriptions
3. New session with 'Update Existing Records'; map ID
4. Import</t>
        </is>
      </c>
      <c r="J12" s="14" t="inlineStr">
        <is>
          <t>Existing parts updated; no duplicates created</t>
        </is>
      </c>
      <c r="K12" s="17" t="n"/>
      <c r="L12" s="17" t="inlineStr">
        <is>
          <t>Not Run</t>
        </is>
      </c>
      <c r="M12" s="14" t="n"/>
      <c r="N12" s="18" t="inlineStr">
        <is>
          <t>concepts/data_import</t>
        </is>
      </c>
    </row>
    <row r="13" ht="15" customHeight="1" s="10">
      <c r="A13" s="14" t="inlineStr">
        <is>
          <t>UI-IMP-004</t>
        </is>
      </c>
      <c r="B13" s="14" t="inlineStr">
        <is>
          <t>Part Import</t>
        </is>
      </c>
      <c r="C13" s="14" t="inlineStr">
        <is>
          <t>Import unavailable to non-staff user</t>
        </is>
      </c>
      <c r="D13" s="14" t="inlineStr">
        <is>
          <t>Negative</t>
        </is>
      </c>
      <c r="E13" s="14" t="inlineStr">
        <is>
          <t>P2</t>
        </is>
      </c>
      <c r="F13" s="14" t="inlineStr">
        <is>
          <t>Non-staff user with Part view role</t>
        </is>
      </c>
      <c r="G13" s="14" t="inlineStr">
        <is>
          <t>Parts &gt; Parts table</t>
        </is>
      </c>
      <c r="H13" s="14" t="inlineStr">
        <is>
          <t>-</t>
        </is>
      </c>
      <c r="I13" s="14" t="inlineStr">
        <is>
          <t>1. Open Add Parts menu</t>
        </is>
      </c>
      <c r="J13" s="14" t="inlineStr">
        <is>
          <t>'Import from File' not offered (or import rejected)</t>
        </is>
      </c>
      <c r="K13" s="17" t="n"/>
      <c r="L13" s="17" t="inlineStr">
        <is>
          <t>Not Run</t>
        </is>
      </c>
      <c r="M13" s="14" t="n"/>
      <c r="N13" s="18" t="inlineStr">
        <is>
          <t>concepts/data_import</t>
        </is>
      </c>
    </row>
    <row r="14" ht="15" customHeight="1" s="10">
      <c r="A14" s="14" t="inlineStr">
        <is>
          <t>UI-DET-001</t>
        </is>
      </c>
      <c r="B14" s="14" t="inlineStr">
        <is>
          <t>Part Detail</t>
        </is>
      </c>
      <c r="C14" s="14" t="inlineStr">
        <is>
          <t>Breadcrumb navigation</t>
        </is>
      </c>
      <c r="D14" s="14" t="inlineStr">
        <is>
          <t>Positive</t>
        </is>
      </c>
      <c r="E14" s="14" t="inlineStr">
        <is>
          <t>P2</t>
        </is>
      </c>
      <c r="F14" s="14" t="inlineStr">
        <is>
          <t>Part in Electronics/Passives/Resistors</t>
        </is>
      </c>
      <c r="G14" s="14" t="inlineStr">
        <is>
          <t>Part detail page</t>
        </is>
      </c>
      <c r="H14" s="14" t="inlineStr">
        <is>
          <t>-</t>
        </is>
      </c>
      <c r="I14" s="14" t="inlineStr">
        <is>
          <t>1. Click each breadcrumb</t>
        </is>
      </c>
      <c r="J14" s="14" t="inlineStr">
        <is>
          <t>Full path shown; each crumb opens its category</t>
        </is>
      </c>
      <c r="K14" s="17" t="n"/>
      <c r="L14" s="17" t="inlineStr">
        <is>
          <t>Not Run</t>
        </is>
      </c>
      <c r="M14" s="14" t="n"/>
      <c r="N14" s="18" t="inlineStr">
        <is>
          <t>part/views</t>
        </is>
      </c>
    </row>
    <row r="15" ht="22.35" customHeight="1" s="10">
      <c r="A15" s="14" t="inlineStr">
        <is>
          <t>UI-DET-002</t>
        </is>
      </c>
      <c r="B15" s="14" t="inlineStr">
        <is>
          <t>Part Detail</t>
        </is>
      </c>
      <c r="C15" s="14" t="inlineStr">
        <is>
          <t>Details panel shows core fields</t>
        </is>
      </c>
      <c r="D15" s="14" t="inlineStr">
        <is>
          <t>Positive</t>
        </is>
      </c>
      <c r="E15" s="14" t="inlineStr">
        <is>
          <t>P1</t>
        </is>
      </c>
      <c r="F15" s="14" t="inlineStr">
        <is>
          <t>Part with all fields populated</t>
        </is>
      </c>
      <c r="G15" s="14" t="inlineStr">
        <is>
          <t>Part detail page &gt; Details</t>
        </is>
      </c>
      <c r="H15" s="14" t="inlineStr">
        <is>
          <t>-</t>
        </is>
      </c>
      <c r="I15" s="14" t="inlineStr">
        <is>
          <t>1. Open Details panel</t>
        </is>
      </c>
      <c r="J15" s="14" t="inlineStr">
        <is>
          <t>IPN, Name, Description, Revision, Keywords, Link, Units, creation date and user shown</t>
        </is>
      </c>
      <c r="K15" s="17" t="n"/>
      <c r="L15" s="17" t="inlineStr">
        <is>
          <t>Not Run</t>
        </is>
      </c>
      <c r="M15" s="14" t="n"/>
      <c r="N15" s="18" t="inlineStr">
        <is>
          <t>part/views</t>
        </is>
      </c>
    </row>
    <row r="16" ht="32.8" customHeight="1" s="10">
      <c r="A16" s="14" t="inlineStr">
        <is>
          <t>UI-DET-003</t>
        </is>
      </c>
      <c r="B16" s="14" t="inlineStr">
        <is>
          <t>Part Detail</t>
        </is>
      </c>
      <c r="C16" s="14" t="inlineStr">
        <is>
          <t>Edit part and notes (markdown)</t>
        </is>
      </c>
      <c r="D16" s="14" t="inlineStr">
        <is>
          <t>Positive</t>
        </is>
      </c>
      <c r="E16" s="14" t="inlineStr">
        <is>
          <t>P1</t>
        </is>
      </c>
      <c r="F16" s="14" t="inlineStr">
        <is>
          <t>Logged in as user with Part view/add/change/delete roles</t>
        </is>
      </c>
      <c r="G16" s="14" t="inlineStr">
        <is>
          <t>Part detail page &gt; actions &gt; Edit; Notes</t>
        </is>
      </c>
      <c r="H16" s="14" t="inlineStr">
        <is>
          <t>Description changed; notes '**bold**'</t>
        </is>
      </c>
      <c r="I16" s="14" t="inlineStr">
        <is>
          <t>1. Edit description
2. Edit notes
3. Save</t>
        </is>
      </c>
      <c r="J16" s="14" t="inlineStr">
        <is>
          <t>Changes saved; markdown rendered</t>
        </is>
      </c>
      <c r="K16" s="17" t="n"/>
      <c r="L16" s="17" t="inlineStr">
        <is>
          <t>Not Run</t>
        </is>
      </c>
      <c r="M16" s="14" t="n"/>
      <c r="N16" s="18" t="inlineStr">
        <is>
          <t>part/views</t>
        </is>
      </c>
    </row>
    <row r="17" ht="22.35" customHeight="1" s="10">
      <c r="A17" s="14" t="inlineStr">
        <is>
          <t>UI-DET-004</t>
        </is>
      </c>
      <c r="B17" s="14" t="inlineStr">
        <is>
          <t>Part Detail</t>
        </is>
      </c>
      <c r="C17" s="14" t="inlineStr">
        <is>
          <t>Actions menu respects roles</t>
        </is>
      </c>
      <c r="D17" s="14" t="inlineStr">
        <is>
          <t>Negative</t>
        </is>
      </c>
      <c r="E17" s="14" t="inlineStr">
        <is>
          <t>P2</t>
        </is>
      </c>
      <c r="F17" s="14" t="inlineStr">
        <is>
          <t>View-only user</t>
        </is>
      </c>
      <c r="G17" s="14" t="inlineStr">
        <is>
          <t>Part detail page</t>
        </is>
      </c>
      <c r="H17" s="14" t="inlineStr">
        <is>
          <t>-</t>
        </is>
      </c>
      <c r="I17" s="14" t="inlineStr">
        <is>
          <t>1. Open actions menu</t>
        </is>
      </c>
      <c r="J17" s="14" t="inlineStr">
        <is>
          <t>Duplicate, Edit and Delete hidden without the matching role</t>
        </is>
      </c>
      <c r="K17" s="17" t="n"/>
      <c r="L17" s="17" t="inlineStr">
        <is>
          <t>Not Run</t>
        </is>
      </c>
      <c r="M17" s="14" t="n"/>
      <c r="N17" s="18" t="inlineStr">
        <is>
          <t>part/views</t>
        </is>
      </c>
    </row>
    <row r="18" ht="22.35" customHeight="1" s="10">
      <c r="A18" s="14" t="inlineStr">
        <is>
          <t>UI-DET-005</t>
        </is>
      </c>
      <c r="B18" s="14" t="inlineStr">
        <is>
          <t>Part Detail</t>
        </is>
      </c>
      <c r="C18" s="14" t="inlineStr">
        <is>
          <t>Low stock and overstock indicators</t>
        </is>
      </c>
      <c r="D18" s="14" t="inlineStr">
        <is>
          <t>Positive</t>
        </is>
      </c>
      <c r="E18" s="14" t="inlineStr">
        <is>
          <t>P2</t>
        </is>
      </c>
      <c r="F18" s="14" t="inlineStr">
        <is>
          <t>Part with Min=10, Max=100</t>
        </is>
      </c>
      <c r="G18" s="14" t="inlineStr">
        <is>
          <t>Part detail page; Parts table</t>
        </is>
      </c>
      <c r="H18" s="14" t="inlineStr">
        <is>
          <t>Stock 5, then 150</t>
        </is>
      </c>
      <c r="I18" s="14" t="inlineStr">
        <is>
          <t>1. Set stock to 5
2. Set stock to 150</t>
        </is>
      </c>
      <c r="J18" s="14" t="inlineStr">
        <is>
          <t>Flagged 'low stock' at 5 and 'overstocked' at 150</t>
        </is>
      </c>
      <c r="K18" s="17" t="n"/>
      <c r="L18" s="17" t="inlineStr">
        <is>
          <t>Not Run</t>
        </is>
      </c>
      <c r="M18" s="14" t="n"/>
      <c r="N18" s="18" t="inlineStr">
        <is>
          <t>part/index</t>
        </is>
      </c>
    </row>
    <row r="19" ht="64.15000000000001" customHeight="1" s="10">
      <c r="A19" s="14" t="inlineStr">
        <is>
          <t>UI-TAB-001</t>
        </is>
      </c>
      <c r="B19" s="14" t="inlineStr">
        <is>
          <t>Detail Tabs</t>
        </is>
      </c>
      <c r="C19" s="14" t="inlineStr">
        <is>
          <t>Tab visibility follows part attributes (matrix)</t>
        </is>
      </c>
      <c r="D19" s="14" t="inlineStr">
        <is>
          <t>Positive</t>
        </is>
      </c>
      <c r="E19" s="14" t="inlineStr">
        <is>
          <t>P1</t>
        </is>
      </c>
      <c r="F19" s="14" t="inlineStr">
        <is>
          <t>Parts: (a) plain, (b) Assembly, (c) Component, (d) Template, (e) Purchaseable, (f) Salable, (g) Testable, (h) Virtual</t>
        </is>
      </c>
      <c r="G19" s="14" t="inlineStr">
        <is>
          <t>Part detail page</t>
        </is>
      </c>
      <c r="H19" s="14" t="inlineStr">
        <is>
          <t>One part per flag set</t>
        </is>
      </c>
      <c r="I19" s="14" t="inlineStr">
        <is>
          <t>1. Open each part
2. Record which tabs are shown
3. Toggle a flag on part (a) and refresh</t>
        </is>
      </c>
      <c r="J19" s="14" t="inlineStr">
        <is>
          <t>BOM + Build Orders only for Assembly; Used In for Component; Variants for Template; Suppliers + Purchase Orders for Purchaseable; Sales Orders for Salable; Allocations for Component or Salable (not Virtual); Test Templates + Test Results for Testable; Stock hidden for Virtual. Toggling a flag shows/hides its tabs</t>
        </is>
      </c>
      <c r="K19" s="17" t="n"/>
      <c r="L19" s="17" t="inlineStr">
        <is>
          <t>Not Run</t>
        </is>
      </c>
      <c r="M19" s="14" t="inlineStr">
        <is>
          <t>See OBS-04</t>
        </is>
      </c>
      <c r="N19" s="18" t="inlineStr">
        <is>
          <t>part/views</t>
        </is>
      </c>
    </row>
    <row r="20" ht="43.25" customHeight="1" s="10">
      <c r="A20" s="14" t="inlineStr">
        <is>
          <t>UI-TAB-002</t>
        </is>
      </c>
      <c r="B20" s="14" t="inlineStr">
        <is>
          <t>Detail Tabs</t>
        </is>
      </c>
      <c r="C20" s="14" t="inlineStr">
        <is>
          <t>Stock tab: list, add stock, bulk actions, export</t>
        </is>
      </c>
      <c r="D20" s="14" t="inlineStr">
        <is>
          <t>Positive</t>
        </is>
      </c>
      <c r="E20" s="14" t="inlineStr">
        <is>
          <t>P1</t>
        </is>
      </c>
      <c r="F20" s="14" t="inlineStr">
        <is>
          <t>Part with 3 stock items in 2 locations</t>
        </is>
      </c>
      <c r="G20" s="14" t="inlineStr">
        <is>
          <t>Part detail page &gt; Stock</t>
        </is>
      </c>
      <c r="H20" s="14" t="inlineStr">
        <is>
          <t>New item qty 10</t>
        </is>
      </c>
      <c r="I20" s="14" t="inlineStr">
        <is>
          <t>1. Review table
2. New Stock Item qty 10
3. Select 2 rows &gt; stock actions
4. Export</t>
        </is>
      </c>
      <c r="J20" s="14" t="inlineStr">
        <is>
          <t>Items show qty, location, status; new item added and total +10; actions enabled only with selection; export file downloads</t>
        </is>
      </c>
      <c r="K20" s="17" t="n"/>
      <c r="L20" s="17" t="inlineStr">
        <is>
          <t>Not Run</t>
        </is>
      </c>
      <c r="M20" s="14" t="n"/>
      <c r="N20" s="18" t="inlineStr">
        <is>
          <t>part/views</t>
        </is>
      </c>
    </row>
    <row r="21" ht="32.8" customHeight="1" s="10">
      <c r="A21" s="14" t="inlineStr">
        <is>
          <t>UI-TAB-003</t>
        </is>
      </c>
      <c r="B21" s="14" t="inlineStr">
        <is>
          <t>Detail Tabs</t>
        </is>
      </c>
      <c r="C21" s="14" t="inlineStr">
        <is>
          <t>BOM tab: add, edit and delete BOM item</t>
        </is>
      </c>
      <c r="D21" s="14" t="inlineStr">
        <is>
          <t>Positive</t>
        </is>
      </c>
      <c r="E21" s="14" t="inlineStr">
        <is>
          <t>P1</t>
        </is>
      </c>
      <c r="F21" s="14" t="inlineStr">
        <is>
          <t>Assembly part; component part</t>
        </is>
      </c>
      <c r="G21" s="14" t="inlineStr">
        <is>
          <t>Part detail page &gt; Bill of Materials</t>
        </is>
      </c>
      <c r="H21" s="14" t="inlineStr">
        <is>
          <t>Component X qty 4 → 6</t>
        </is>
      </c>
      <c r="I21" s="14" t="inlineStr">
        <is>
          <t>1. Add item
2. Edit qty
3. Delete item</t>
        </is>
      </c>
      <c r="J21" s="14" t="inlineStr">
        <is>
          <t>Each change reflected in BOM table</t>
        </is>
      </c>
      <c r="K21" s="17" t="n"/>
      <c r="L21" s="17" t="inlineStr">
        <is>
          <t>Not Run</t>
        </is>
      </c>
      <c r="M21" s="14" t="n"/>
      <c r="N21" s="18" t="inlineStr">
        <is>
          <t>part/views</t>
        </is>
      </c>
    </row>
    <row r="22" ht="22.35" customHeight="1" s="10">
      <c r="A22" s="14" t="inlineStr">
        <is>
          <t>UI-TAB-004</t>
        </is>
      </c>
      <c r="B22" s="14" t="inlineStr">
        <is>
          <t>Detail Tabs</t>
        </is>
      </c>
      <c r="C22" s="14" t="inlineStr">
        <is>
          <t>Allocations tab shows build and sales order allocations</t>
        </is>
      </c>
      <c r="D22" s="14" t="inlineStr">
        <is>
          <t>Positive</t>
        </is>
      </c>
      <c r="E22" s="14" t="inlineStr">
        <is>
          <t>P2</t>
        </is>
      </c>
      <c r="F22" s="14" t="inlineStr">
        <is>
          <t>Component allocated to a build and a sales order</t>
        </is>
      </c>
      <c r="G22" s="14" t="inlineStr">
        <is>
          <t>Part detail page &gt; Allocations</t>
        </is>
      </c>
      <c r="H22" s="14" t="inlineStr">
        <is>
          <t>-</t>
        </is>
      </c>
      <c r="I22" s="14" t="inlineStr">
        <is>
          <t>1. Open tab</t>
        </is>
      </c>
      <c r="J22" s="14" t="inlineStr">
        <is>
          <t>Both allocations listed with quantities</t>
        </is>
      </c>
      <c r="K22" s="17" t="n"/>
      <c r="L22" s="17" t="inlineStr">
        <is>
          <t>Not Run</t>
        </is>
      </c>
      <c r="M22" s="14" t="n"/>
      <c r="N22" s="18" t="inlineStr">
        <is>
          <t>part/views</t>
        </is>
      </c>
    </row>
    <row r="23" ht="15" customHeight="1" s="10">
      <c r="A23" s="14" t="inlineStr">
        <is>
          <t>UI-TAB-005</t>
        </is>
      </c>
      <c r="B23" s="14" t="inlineStr">
        <is>
          <t>Detail Tabs</t>
        </is>
      </c>
      <c r="C23" s="14" t="inlineStr">
        <is>
          <t>Build Orders tab lists builds</t>
        </is>
      </c>
      <c r="D23" s="14" t="inlineStr">
        <is>
          <t>Positive</t>
        </is>
      </c>
      <c r="E23" s="14" t="inlineStr">
        <is>
          <t>P2</t>
        </is>
      </c>
      <c r="F23" s="14" t="inlineStr">
        <is>
          <t>Assembly with 2 build orders</t>
        </is>
      </c>
      <c r="G23" s="14" t="inlineStr">
        <is>
          <t>Part detail page &gt; Build Orders</t>
        </is>
      </c>
      <c r="H23" s="14" t="inlineStr">
        <is>
          <t>-</t>
        </is>
      </c>
      <c r="I23" s="14" t="inlineStr">
        <is>
          <t>1. Open tab</t>
        </is>
      </c>
      <c r="J23" s="14" t="inlineStr">
        <is>
          <t>Both builds listed with quantity, status and dates</t>
        </is>
      </c>
      <c r="K23" s="17" t="n"/>
      <c r="L23" s="17" t="inlineStr">
        <is>
          <t>Not Run</t>
        </is>
      </c>
      <c r="M23" s="14" t="n"/>
      <c r="N23" s="18" t="inlineStr">
        <is>
          <t>part/views</t>
        </is>
      </c>
    </row>
    <row r="24" ht="32.8" customHeight="1" s="10">
      <c r="A24" s="14" t="inlineStr">
        <is>
          <t>UI-TAB-006</t>
        </is>
      </c>
      <c r="B24" s="14" t="inlineStr">
        <is>
          <t>Detail Tabs</t>
        </is>
      </c>
      <c r="C24" s="14" t="inlineStr">
        <is>
          <t>Parameters tab: add, edit, delete</t>
        </is>
      </c>
      <c r="D24" s="14" t="inlineStr">
        <is>
          <t>Positive</t>
        </is>
      </c>
      <c r="E24" s="14" t="inlineStr">
        <is>
          <t>P1</t>
        </is>
      </c>
      <c r="F24" s="14" t="inlineStr">
        <is>
          <t>Template 'Resistance' (ohm)</t>
        </is>
      </c>
      <c r="G24" s="14" t="inlineStr">
        <is>
          <t>Part detail page &gt; Parameters</t>
        </is>
      </c>
      <c r="H24" s="14" t="inlineStr">
        <is>
          <t>10k → 22k</t>
        </is>
      </c>
      <c r="I24" s="14" t="inlineStr">
        <is>
          <t>1. Add parameter
2. Edit value
3. Delete</t>
        </is>
      </c>
      <c r="J24" s="14" t="inlineStr">
        <is>
          <t>Value stored with unit; edit saved; row removed after delete</t>
        </is>
      </c>
      <c r="K24" s="17" t="n"/>
      <c r="L24" s="17" t="inlineStr">
        <is>
          <t>Not Run</t>
        </is>
      </c>
      <c r="M24" s="14" t="n"/>
      <c r="N24" s="18" t="inlineStr">
        <is>
          <t>concepts/parameters</t>
        </is>
      </c>
    </row>
    <row r="25" ht="43.25" customHeight="1" s="10">
      <c r="A25" s="14" t="inlineStr">
        <is>
          <t>UI-TAB-007</t>
        </is>
      </c>
      <c r="B25" s="14" t="inlineStr">
        <is>
          <t>Detail Tabs</t>
        </is>
      </c>
      <c r="C25" s="14" t="inlineStr">
        <is>
          <t>Attachments: file and link</t>
        </is>
      </c>
      <c r="D25" s="14" t="inlineStr">
        <is>
          <t>Positive</t>
        </is>
      </c>
      <c r="E25" s="14" t="inlineStr">
        <is>
          <t>P2</t>
        </is>
      </c>
      <c r="F25" s="14" t="inlineStr">
        <is>
          <t>Logged in as user with Part view/add/change/delete roles</t>
        </is>
      </c>
      <c r="G25" s="14" t="inlineStr">
        <is>
          <t>Part detail page &gt; Attachments</t>
        </is>
      </c>
      <c r="H25" s="14" t="inlineStr">
        <is>
          <t>datasheet.pdf; https://example.com/ds</t>
        </is>
      </c>
      <c r="I25" s="14" t="inlineStr">
        <is>
          <t>1. Upload file with comment
2. Add link
3. Download file
4. Delete both</t>
        </is>
      </c>
      <c r="J25" s="14" t="inlineStr">
        <is>
          <t>Both listed; file downloads intact; link opens URL; removed after delete</t>
        </is>
      </c>
      <c r="K25" s="17" t="n"/>
      <c r="L25" s="17" t="inlineStr">
        <is>
          <t>Not Run</t>
        </is>
      </c>
      <c r="M25" s="14" t="n"/>
      <c r="N25" s="18" t="inlineStr">
        <is>
          <t>part/views</t>
        </is>
      </c>
    </row>
    <row r="26" ht="43.25" customHeight="1" s="10">
      <c r="A26" s="14" t="inlineStr">
        <is>
          <t>UI-TAB-008</t>
        </is>
      </c>
      <c r="B26" s="14" t="inlineStr">
        <is>
          <t>Detail Tabs</t>
        </is>
      </c>
      <c r="C26" s="14" t="inlineStr">
        <is>
          <t>Related Parts: add, view from both sides, remove; hidden when disabled</t>
        </is>
      </c>
      <c r="D26" s="14" t="inlineStr">
        <is>
          <t>Positive</t>
        </is>
      </c>
      <c r="E26" s="14" t="inlineStr">
        <is>
          <t>P2</t>
        </is>
      </c>
      <c r="F26" s="14" t="inlineStr">
        <is>
          <t>Two parts; Related Parts setting on</t>
        </is>
      </c>
      <c r="G26" s="14" t="inlineStr">
        <is>
          <t>Part detail page &gt; Related Parts</t>
        </is>
      </c>
      <c r="H26" s="14" t="inlineStr">
        <is>
          <t>Part B</t>
        </is>
      </c>
      <c r="I26" s="14" t="inlineStr">
        <is>
          <t>1. Relate Part B
2. Open Part B
3. Remove relation
4. Disable setting</t>
        </is>
      </c>
      <c r="J26" s="14" t="inlineStr">
        <is>
          <t>Relation shown on both parts and removed from both; tab hidden when setting off</t>
        </is>
      </c>
      <c r="K26" s="17" t="n"/>
      <c r="L26" s="17" t="inlineStr">
        <is>
          <t>Not Run</t>
        </is>
      </c>
      <c r="M26" s="14" t="n"/>
      <c r="N26" s="18" t="inlineStr">
        <is>
          <t>part/views</t>
        </is>
      </c>
    </row>
    <row r="27" ht="22.35" customHeight="1" s="10">
      <c r="A27" s="14" t="inlineStr">
        <is>
          <t>UI-TAB-009</t>
        </is>
      </c>
      <c r="B27" s="14" t="inlineStr">
        <is>
          <t>Detail Tabs</t>
        </is>
      </c>
      <c r="C27" s="14" t="inlineStr">
        <is>
          <t>Test Templates: create; key generated; duplicate name rejected</t>
        </is>
      </c>
      <c r="D27" s="14" t="inlineStr">
        <is>
          <t>Positive</t>
        </is>
      </c>
      <c r="E27" s="14" t="inlineStr">
        <is>
          <t>P1</t>
        </is>
      </c>
      <c r="F27" s="14" t="inlineStr">
        <is>
          <t>Testable part</t>
        </is>
      </c>
      <c r="G27" s="14" t="inlineStr">
        <is>
          <t>Part detail page &gt; Test Templates</t>
        </is>
      </c>
      <c r="H27" s="14" t="inlineStr">
        <is>
          <t>'Firmware Version' (twice)</t>
        </is>
      </c>
      <c r="I27" s="14" t="inlineStr">
        <is>
          <t>1. Add template (Required, Requires Value)
2. Add same name again</t>
        </is>
      </c>
      <c r="J27" s="14" t="inlineStr">
        <is>
          <t>First created with key 'firmwareversion'; duplicate rejected with error</t>
        </is>
      </c>
      <c r="K27" s="17" t="n"/>
      <c r="L27" s="17" t="inlineStr">
        <is>
          <t>Not Run</t>
        </is>
      </c>
      <c r="M27" s="14" t="n"/>
      <c r="N27" s="18" t="inlineStr">
        <is>
          <t>part/test</t>
        </is>
      </c>
    </row>
    <row r="28" ht="22.35" customHeight="1" s="10">
      <c r="A28" s="14" t="inlineStr">
        <is>
          <t>UI-TAB-010</t>
        </is>
      </c>
      <c r="B28" s="14" t="inlineStr">
        <is>
          <t>Detail Tabs</t>
        </is>
      </c>
      <c r="C28" s="14" t="inlineStr">
        <is>
          <t>Test templates cascade to variants</t>
        </is>
      </c>
      <c r="D28" s="14" t="inlineStr">
        <is>
          <t>Positive</t>
        </is>
      </c>
      <c r="E28" s="14" t="inlineStr">
        <is>
          <t>P2</t>
        </is>
      </c>
      <c r="F28" s="14" t="inlineStr">
        <is>
          <t>Testable template part with variant</t>
        </is>
      </c>
      <c r="G28" s="14" t="inlineStr">
        <is>
          <t>Part detail page (variant) &gt; Test Templates</t>
        </is>
      </c>
      <c r="H28" s="14" t="inlineStr">
        <is>
          <t>-</t>
        </is>
      </c>
      <c r="I28" s="14" t="inlineStr">
        <is>
          <t>1. Add template on master
2. Open variant</t>
        </is>
      </c>
      <c r="J28" s="14" t="inlineStr">
        <is>
          <t>Master's template listed on the variant</t>
        </is>
      </c>
      <c r="K28" s="17" t="n"/>
      <c r="L28" s="17" t="inlineStr">
        <is>
          <t>Not Run</t>
        </is>
      </c>
      <c r="M28" s="14" t="n"/>
      <c r="N28" s="18" t="inlineStr">
        <is>
          <t>part/test</t>
        </is>
      </c>
    </row>
    <row r="29" ht="22.35" customHeight="1" s="10">
      <c r="A29" s="14" t="inlineStr">
        <is>
          <t>UI-CAT-001</t>
        </is>
      </c>
      <c r="B29" s="14" t="inlineStr">
        <is>
          <t>Categories</t>
        </is>
      </c>
      <c r="C29" s="14" t="inlineStr">
        <is>
          <t>Create nested categories; sub-categories and counts</t>
        </is>
      </c>
      <c r="D29" s="14" t="inlineStr">
        <is>
          <t>Positive</t>
        </is>
      </c>
      <c r="E29" s="14" t="inlineStr">
        <is>
          <t>P1</t>
        </is>
      </c>
      <c r="F29" s="14" t="inlineStr">
        <is>
          <t>Logged in as user with Part view/add/change/delete roles</t>
        </is>
      </c>
      <c r="G29" s="14" t="inlineStr">
        <is>
          <t>Parts &gt; Categories &gt; New Category</t>
        </is>
      </c>
      <c r="H29" s="14" t="inlineStr">
        <is>
          <t>Electronics &gt; Passives &gt; Resistors</t>
        </is>
      </c>
      <c r="I29" s="14" t="inlineStr">
        <is>
          <t>1. Create 3 levels
2. Open each level</t>
        </is>
      </c>
      <c r="J29" s="14" t="inlineStr">
        <is>
          <t>Tree and breadcrumbs correct; sub-categories listed with part counts</t>
        </is>
      </c>
      <c r="K29" s="17" t="n"/>
      <c r="L29" s="17" t="inlineStr">
        <is>
          <t>Not Run</t>
        </is>
      </c>
      <c r="M29" s="14" t="n"/>
      <c r="N29" s="18" t="inlineStr">
        <is>
          <t>part/index</t>
        </is>
      </c>
    </row>
    <row r="30" ht="22.35" customHeight="1" s="10">
      <c r="A30" s="14" t="inlineStr">
        <is>
          <t>UI-CAT-002</t>
        </is>
      </c>
      <c r="B30" s="14" t="inlineStr">
        <is>
          <t>Categories</t>
        </is>
      </c>
      <c r="C30" s="14" t="inlineStr">
        <is>
          <t>Category part list includes sub-category parts</t>
        </is>
      </c>
      <c r="D30" s="14" t="inlineStr">
        <is>
          <t>Positive</t>
        </is>
      </c>
      <c r="E30" s="14" t="inlineStr">
        <is>
          <t>P1</t>
        </is>
      </c>
      <c r="F30" s="14" t="inlineStr">
        <is>
          <t>Parts in Passives and Resistors</t>
        </is>
      </c>
      <c r="G30" s="14" t="inlineStr">
        <is>
          <t>Category 'Passives'</t>
        </is>
      </c>
      <c r="H30" s="14" t="inlineStr">
        <is>
          <t>-</t>
        </is>
      </c>
      <c r="I30" s="14" t="inlineStr">
        <is>
          <t>1. Open Passives</t>
        </is>
      </c>
      <c r="J30" s="14" t="inlineStr">
        <is>
          <t>Parts from both Passives and Resistors listed; name links to part detail</t>
        </is>
      </c>
      <c r="K30" s="17" t="n"/>
      <c r="L30" s="17" t="inlineStr">
        <is>
          <t>Not Run</t>
        </is>
      </c>
      <c r="M30" s="14" t="n"/>
      <c r="N30" s="18" t="inlineStr">
        <is>
          <t>part/index</t>
        </is>
      </c>
    </row>
    <row r="31" ht="32.8" customHeight="1" s="10">
      <c r="A31" s="14" t="inlineStr">
        <is>
          <t>UI-CAT-003</t>
        </is>
      </c>
      <c r="B31" s="14" t="inlineStr">
        <is>
          <t>Categories</t>
        </is>
      </c>
      <c r="C31" s="14" t="inlineStr">
        <is>
          <t>Filter and search category parts</t>
        </is>
      </c>
      <c r="D31" s="14" t="inlineStr">
        <is>
          <t>Positive</t>
        </is>
      </c>
      <c r="E31" s="14" t="inlineStr">
        <is>
          <t>P1</t>
        </is>
      </c>
      <c r="F31" s="14" t="inlineStr">
        <is>
          <t>Mixed parts in category</t>
        </is>
      </c>
      <c r="G31" s="14" t="inlineStr">
        <is>
          <t>Category page &gt; Filters / search</t>
        </is>
      </c>
      <c r="H31" s="14" t="inlineStr">
        <is>
          <t>Active=Yes + Assembly=Yes; partial name</t>
        </is>
      </c>
      <c r="I31" s="14" t="inlineStr">
        <is>
          <t>1. Apply filters singly, then combined
2. Search partial name
3. Clear all</t>
        </is>
      </c>
      <c r="J31" s="14" t="inlineStr">
        <is>
          <t>Results match each filter (AND when combined) and the search; clear restores list</t>
        </is>
      </c>
      <c r="K31" s="17" t="n"/>
      <c r="L31" s="17" t="inlineStr">
        <is>
          <t>Not Run</t>
        </is>
      </c>
      <c r="M31" s="14" t="n"/>
      <c r="N31" s="18" t="inlineStr">
        <is>
          <t>part/index</t>
        </is>
      </c>
    </row>
    <row r="32" ht="22.35" customHeight="1" s="10">
      <c r="A32" s="14" t="inlineStr">
        <is>
          <t>UI-CAT-004</t>
        </is>
      </c>
      <c r="B32" s="14" t="inlineStr">
        <is>
          <t>Categories</t>
        </is>
      </c>
      <c r="C32" s="14" t="inlineStr">
        <is>
          <t>Move and delete category</t>
        </is>
      </c>
      <c r="D32" s="14" t="inlineStr">
        <is>
          <t>Positive</t>
        </is>
      </c>
      <c r="E32" s="14" t="inlineStr">
        <is>
          <t>P2</t>
        </is>
      </c>
      <c r="F32" s="14" t="inlineStr">
        <is>
          <t>Category with parts and a child</t>
        </is>
      </c>
      <c r="G32" s="14" t="inlineStr">
        <is>
          <t>Category &gt; Edit / Delete</t>
        </is>
      </c>
      <c r="H32" s="14" t="inlineStr">
        <is>
          <t>New parent</t>
        </is>
      </c>
      <c r="I32" s="14" t="inlineStr">
        <is>
          <t>1. Change parent
2. Delete category (default options)</t>
        </is>
      </c>
      <c r="J32" s="14" t="inlineStr">
        <is>
          <t>Move: category and parts appear under new parent. Delete: children and parts re-parented to parent</t>
        </is>
      </c>
      <c r="K32" s="17" t="n"/>
      <c r="L32" s="17" t="inlineStr">
        <is>
          <t>Not Run</t>
        </is>
      </c>
      <c r="M32" s="14" t="n"/>
      <c r="N32" s="18" t="inlineStr">
        <is>
          <t>part/index</t>
        </is>
      </c>
    </row>
    <row r="33" ht="22.35" customHeight="1" s="10">
      <c r="A33" s="14" t="inlineStr">
        <is>
          <t>UI-CAT-005</t>
        </is>
      </c>
      <c r="B33" s="14" t="inlineStr">
        <is>
          <t>Categories</t>
        </is>
      </c>
      <c r="C33" s="14" t="inlineStr">
        <is>
          <t>Structural category rejects parts</t>
        </is>
      </c>
      <c r="D33" s="14" t="inlineStr">
        <is>
          <t>Negative</t>
        </is>
      </c>
      <c r="E33" s="14" t="inlineStr">
        <is>
          <t>P1</t>
        </is>
      </c>
      <c r="F33" s="14" t="inlineStr">
        <is>
          <t>Structural category</t>
        </is>
      </c>
      <c r="G33" s="14" t="inlineStr">
        <is>
          <t>Parts &gt; Parts table &gt; Create Part</t>
        </is>
      </c>
      <c r="H33" s="14" t="inlineStr">
        <is>
          <t>Category = structural</t>
        </is>
      </c>
      <c r="I33" s="14" t="inlineStr">
        <is>
          <t>1. Submit</t>
        </is>
      </c>
      <c r="J33" s="14" t="inlineStr">
        <is>
          <t>Error 'Parts cannot be assigned to structural part categories!'</t>
        </is>
      </c>
      <c r="K33" s="17" t="n"/>
      <c r="L33" s="17" t="inlineStr">
        <is>
          <t>Not Run</t>
        </is>
      </c>
      <c r="M33" s="14" t="n"/>
      <c r="N33" s="18" t="inlineStr">
        <is>
          <t>part/index</t>
        </is>
      </c>
    </row>
    <row r="34" ht="15" customHeight="1" s="10">
      <c r="A34" s="14" t="inlineStr">
        <is>
          <t>UI-CAT-006</t>
        </is>
      </c>
      <c r="B34" s="14" t="inlineStr">
        <is>
          <t>Categories</t>
        </is>
      </c>
      <c r="C34" s="14" t="inlineStr">
        <is>
          <t>Parametric view: sort with unit conversion</t>
        </is>
      </c>
      <c r="D34" s="14" t="inlineStr">
        <is>
          <t>Positive</t>
        </is>
      </c>
      <c r="E34" s="14" t="inlineStr">
        <is>
          <t>P2</t>
        </is>
      </c>
      <c r="F34" s="14" t="inlineStr">
        <is>
          <t>Parts with Resistance 1k, 470, 2.2k</t>
        </is>
      </c>
      <c r="G34" s="14" t="inlineStr">
        <is>
          <t>Category &gt; Parametric View</t>
        </is>
      </c>
      <c r="H34" s="14" t="inlineStr">
        <is>
          <t>-</t>
        </is>
      </c>
      <c r="I34" s="14" t="inlineStr">
        <is>
          <t>1. Sort by Resistance</t>
        </is>
      </c>
      <c r="J34" s="14" t="inlineStr">
        <is>
          <t>Order 470, 1k, 2.2k</t>
        </is>
      </c>
      <c r="K34" s="17" t="n"/>
      <c r="L34" s="17" t="inlineStr">
        <is>
          <t>Not Run</t>
        </is>
      </c>
      <c r="M34" s="14" t="n"/>
      <c r="N34" s="18" t="inlineStr">
        <is>
          <t>concepts/parameters</t>
        </is>
      </c>
    </row>
    <row r="35" ht="32.8" customHeight="1" s="10">
      <c r="A35" s="14" t="inlineStr">
        <is>
          <t>UI-CAT-007</t>
        </is>
      </c>
      <c r="B35" s="14" t="inlineStr">
        <is>
          <t>Categories</t>
        </is>
      </c>
      <c r="C35" s="14" t="inlineStr">
        <is>
          <t>Parametric filters: operators, units, multiple parameters</t>
        </is>
      </c>
      <c r="D35" s="14" t="inlineStr">
        <is>
          <t>Positive</t>
        </is>
      </c>
      <c r="E35" s="14" t="inlineStr">
        <is>
          <t>P1</t>
        </is>
      </c>
      <c r="F35" s="14" t="inlineStr">
        <is>
          <t>Parts with Resistance and Tolerance</t>
        </is>
      </c>
      <c r="G35" s="14" t="inlineStr">
        <is>
          <t>Parametric View</t>
        </is>
      </c>
      <c r="H35" s="14" t="inlineStr">
        <is>
          <t>Resistance &gt; 10k and &lt; 100000; Tolerance = 1%</t>
        </is>
      </c>
      <c r="I35" s="14" t="inlineStr">
        <is>
          <t>1. Add both Resistance filters
2. Add Tolerance filter
3. Remove one filter</t>
        </is>
      </c>
      <c r="J35" s="14" t="inlineStr">
        <is>
          <t>Only matching parts shown; '10k' read as 10000 ohm; filtered columns flagged; removal updates results</t>
        </is>
      </c>
      <c r="K35" s="17" t="n"/>
      <c r="L35" s="17" t="inlineStr">
        <is>
          <t>Not Run</t>
        </is>
      </c>
      <c r="M35" s="14" t="n"/>
      <c r="N35" s="18" t="inlineStr">
        <is>
          <t>concepts/parameters</t>
        </is>
      </c>
    </row>
    <row r="36" ht="22.35" customHeight="1" s="10">
      <c r="A36" s="14" t="inlineStr">
        <is>
          <t>UI-CAT-008</t>
        </is>
      </c>
      <c r="B36" s="14" t="inlineStr">
        <is>
          <t>Categories</t>
        </is>
      </c>
      <c r="C36" s="14" t="inlineStr">
        <is>
          <t>Category default parameter applied to new parts</t>
        </is>
      </c>
      <c r="D36" s="14" t="inlineStr">
        <is>
          <t>Positive</t>
        </is>
      </c>
      <c r="E36" s="14" t="inlineStr">
        <is>
          <t>P3</t>
        </is>
      </c>
      <c r="F36" s="14" t="inlineStr">
        <is>
          <t>Category parameter with default Tolerance=5%</t>
        </is>
      </c>
      <c r="G36" s="14" t="inlineStr">
        <is>
          <t>Category &gt; Parameters</t>
        </is>
      </c>
      <c r="H36" s="14" t="inlineStr">
        <is>
          <t>-</t>
        </is>
      </c>
      <c r="I36" s="14" t="inlineStr">
        <is>
          <t>1. Create part in category (copy category parameters on)</t>
        </is>
      </c>
      <c r="J36" s="14" t="inlineStr">
        <is>
          <t>New part has Tolerance 5%</t>
        </is>
      </c>
      <c r="K36" s="17" t="n"/>
      <c r="L36" s="17" t="inlineStr">
        <is>
          <t>Not Run</t>
        </is>
      </c>
      <c r="M36" s="14" t="n"/>
      <c r="N36" s="18" t="inlineStr">
        <is>
          <t>concepts/parameters</t>
        </is>
      </c>
    </row>
    <row r="37" ht="22.35" customHeight="1" s="10">
      <c r="A37" s="14" t="inlineStr">
        <is>
          <t>UI-PRM-001</t>
        </is>
      </c>
      <c r="B37" s="14" t="inlineStr">
        <is>
          <t>Parameters</t>
        </is>
      </c>
      <c r="C37" s="14" t="inlineStr">
        <is>
          <t>Create parameter template; name must be unique</t>
        </is>
      </c>
      <c r="D37" s="14" t="inlineStr">
        <is>
          <t>Positive</t>
        </is>
      </c>
      <c r="E37" s="14" t="inlineStr">
        <is>
          <t>P2</t>
        </is>
      </c>
      <c r="F37" s="14" t="inlineStr">
        <is>
          <t>Admin</t>
        </is>
      </c>
      <c r="G37" s="14" t="inlineStr">
        <is>
          <t>Settings &gt; Parameters &gt; New Parameter</t>
        </is>
      </c>
      <c r="H37" s="14" t="inlineStr">
        <is>
          <t>Resistance / ohm (twice)</t>
        </is>
      </c>
      <c r="I37" s="14" t="inlineStr">
        <is>
          <t>1. Create template
2. Create again with same name</t>
        </is>
      </c>
      <c r="J37" s="14" t="inlineStr">
        <is>
          <t>First listed; duplicate rejected</t>
        </is>
      </c>
      <c r="K37" s="17" t="n"/>
      <c r="L37" s="17" t="inlineStr">
        <is>
          <t>Not Run</t>
        </is>
      </c>
      <c r="M37" s="14" t="n"/>
      <c r="N37" s="18" t="inlineStr">
        <is>
          <t>concepts/parameters</t>
        </is>
      </c>
    </row>
    <row r="38" ht="15" customHeight="1" s="10">
      <c r="A38" s="14" t="inlineStr">
        <is>
          <t>UI-PRM-002</t>
        </is>
      </c>
      <c r="B38" s="14" t="inlineStr">
        <is>
          <t>Parameters</t>
        </is>
      </c>
      <c r="C38" s="14" t="inlineStr">
        <is>
          <t>Incompatible unit value rejected</t>
        </is>
      </c>
      <c r="D38" s="14" t="inlineStr">
        <is>
          <t>Negative</t>
        </is>
      </c>
      <c r="E38" s="14" t="inlineStr">
        <is>
          <t>P1</t>
        </is>
      </c>
      <c r="F38" s="14" t="inlineStr">
        <is>
          <t>'Resistance' (ohm) template</t>
        </is>
      </c>
      <c r="G38" s="14" t="inlineStr">
        <is>
          <t>Part detail page &gt; Parameters</t>
        </is>
      </c>
      <c r="H38" s="14" t="inlineStr">
        <is>
          <t>Data='5 kg'</t>
        </is>
      </c>
      <c r="I38" s="14" t="inlineStr">
        <is>
          <t>1. Add parameter</t>
        </is>
      </c>
      <c r="J38" s="14" t="inlineStr">
        <is>
          <t>Incompatible-unit error; not saved</t>
        </is>
      </c>
      <c r="K38" s="17" t="n"/>
      <c r="L38" s="17" t="inlineStr">
        <is>
          <t>Not Run</t>
        </is>
      </c>
      <c r="M38" s="14" t="n"/>
      <c r="N38" s="18" t="inlineStr">
        <is>
          <t>concepts/parameters</t>
        </is>
      </c>
    </row>
    <row r="39" ht="22.35" customHeight="1" s="10">
      <c r="A39" s="14" t="inlineStr">
        <is>
          <t>UI-PRM-003</t>
        </is>
      </c>
      <c r="B39" s="14" t="inlineStr">
        <is>
          <t>Parameters</t>
        </is>
      </c>
      <c r="C39" s="14" t="inlineStr">
        <is>
          <t>Choices and checkbox templates restrict input</t>
        </is>
      </c>
      <c r="D39" s="14" t="inlineStr">
        <is>
          <t>Negative</t>
        </is>
      </c>
      <c r="E39" s="14" t="inlineStr">
        <is>
          <t>P2</t>
        </is>
      </c>
      <c r="F39" s="14" t="inlineStr">
        <is>
          <t>Choices 'Red,Green'; checkbox template</t>
        </is>
      </c>
      <c r="G39" s="14" t="inlineStr">
        <is>
          <t>Part detail page &gt; Parameters</t>
        </is>
      </c>
      <c r="H39" s="14" t="inlineStr">
        <is>
          <t>'Blue'; non-boolean</t>
        </is>
      </c>
      <c r="I39" s="14" t="inlineStr">
        <is>
          <t>1. Enter value outside choices
2. Use checkbox template</t>
        </is>
      </c>
      <c r="J39" s="14" t="inlineStr">
        <is>
          <t>Only listed choices accepted; checkbox only true/false</t>
        </is>
      </c>
      <c r="K39" s="17" t="n"/>
      <c r="L39" s="17" t="inlineStr">
        <is>
          <t>Not Run</t>
        </is>
      </c>
      <c r="M39" s="14" t="n"/>
      <c r="N39" s="18" t="inlineStr">
        <is>
          <t>concepts/parameters</t>
        </is>
      </c>
    </row>
    <row r="40" ht="32.8" customHeight="1" s="10">
      <c r="A40" s="14" t="inlineStr">
        <is>
          <t>UI-PRM-004</t>
        </is>
      </c>
      <c r="B40" s="14" t="inlineStr">
        <is>
          <t>Parameters</t>
        </is>
      </c>
      <c r="C40" s="14" t="inlineStr">
        <is>
          <t>Unique template rejects duplicates (case-insensitive, unit-normalised)</t>
        </is>
      </c>
      <c r="D40" s="14" t="inlineStr">
        <is>
          <t>Negative</t>
        </is>
      </c>
      <c r="E40" s="14" t="inlineStr">
        <is>
          <t>P2</t>
        </is>
      </c>
      <c r="F40" s="14" t="inlineStr">
        <is>
          <t>Unique 'Resistance'; part A = 1000</t>
        </is>
      </c>
      <c r="G40" s="14" t="inlineStr">
        <is>
          <t>Part detail page (part B) &gt; Parameters</t>
        </is>
      </c>
      <c r="H40" s="14" t="inlineStr">
        <is>
          <t>'1k'; 'ABC' vs 'abc'</t>
        </is>
      </c>
      <c r="I40" s="14" t="inlineStr">
        <is>
          <t>1. Add 1k
2. Repeat with case-differing text on a text template</t>
        </is>
      </c>
      <c r="J40" s="14" t="inlineStr">
        <is>
          <t>Both rejected as duplicates</t>
        </is>
      </c>
      <c r="K40" s="17" t="n"/>
      <c r="L40" s="17" t="inlineStr">
        <is>
          <t>Not Run</t>
        </is>
      </c>
      <c r="M40" s="14" t="n"/>
      <c r="N40" s="18" t="inlineStr">
        <is>
          <t>concepts/parameters</t>
        </is>
      </c>
    </row>
    <row r="41" ht="15" customHeight="1" s="10">
      <c r="A41" s="14" t="inlineStr">
        <is>
          <t>UI-PRM-005</t>
        </is>
      </c>
      <c r="B41" s="14" t="inlineStr">
        <is>
          <t>Parameters</t>
        </is>
      </c>
      <c r="C41" s="14" t="inlineStr">
        <is>
          <t>Parameters on locked part cannot change</t>
        </is>
      </c>
      <c r="D41" s="14" t="inlineStr">
        <is>
          <t>Negative</t>
        </is>
      </c>
      <c r="E41" s="14" t="inlineStr">
        <is>
          <t>P2</t>
        </is>
      </c>
      <c r="F41" s="14" t="inlineStr">
        <is>
          <t>Locked part (locking enabled)</t>
        </is>
      </c>
      <c r="G41" s="14" t="inlineStr">
        <is>
          <t>Part detail page &gt; Parameters</t>
        </is>
      </c>
      <c r="H41" s="14" t="inlineStr">
        <is>
          <t>-</t>
        </is>
      </c>
      <c r="I41" s="14" t="inlineStr">
        <is>
          <t>1. Try add / edit / delete</t>
        </is>
      </c>
      <c r="J41" s="14" t="inlineStr">
        <is>
          <t>Actions disabled or rejected</t>
        </is>
      </c>
      <c r="K41" s="17" t="n"/>
      <c r="L41" s="17" t="inlineStr">
        <is>
          <t>Not Run</t>
        </is>
      </c>
      <c r="M41" s="14" t="n"/>
      <c r="N41" s="18" t="inlineStr">
        <is>
          <t>part/index</t>
        </is>
      </c>
    </row>
    <row r="42" ht="32.8" customHeight="1" s="10">
      <c r="A42" s="14" t="inlineStr">
        <is>
          <t>UI-ATT-001</t>
        </is>
      </c>
      <c r="B42" s="14" t="inlineStr">
        <is>
          <t>Part Attributes</t>
        </is>
      </c>
      <c r="C42" s="14" t="inlineStr">
        <is>
          <t>Virtual part: no stock UI, still usable in BOM and sales</t>
        </is>
      </c>
      <c r="D42" s="14" t="inlineStr">
        <is>
          <t>Positive</t>
        </is>
      </c>
      <c r="E42" s="14" t="inlineStr">
        <is>
          <t>P1</t>
        </is>
      </c>
      <c r="F42" s="14" t="inlineStr">
        <is>
          <t>Virtual part</t>
        </is>
      </c>
      <c r="G42" s="14" t="inlineStr">
        <is>
          <t>Part detail page</t>
        </is>
      </c>
      <c r="H42" s="14" t="inlineStr">
        <is>
          <t>-</t>
        </is>
      </c>
      <c r="I42" s="14" t="inlineStr">
        <is>
          <t>1. Open part
2. Try New Stock Item from Stock page
3. Add part to a BOM and a sales order</t>
        </is>
      </c>
      <c r="J42" s="14" t="inlineStr">
        <is>
          <t>Stock tab/actions hidden and stock creation not offered; BOM and sales order accept the part</t>
        </is>
      </c>
      <c r="K42" s="17" t="n"/>
      <c r="L42" s="17" t="inlineStr">
        <is>
          <t>Not Run</t>
        </is>
      </c>
      <c r="M42" s="14" t="n"/>
      <c r="N42" s="18" t="inlineStr">
        <is>
          <t>part/virtual</t>
        </is>
      </c>
    </row>
    <row r="43" ht="22.35" customHeight="1" s="10">
      <c r="A43" s="14" t="inlineStr">
        <is>
          <t>UI-ATT-002</t>
        </is>
      </c>
      <c r="B43" s="14" t="inlineStr">
        <is>
          <t>Part Attributes</t>
        </is>
      </c>
      <c r="C43" s="14" t="inlineStr">
        <is>
          <t>Template part: create variant</t>
        </is>
      </c>
      <c r="D43" s="14" t="inlineStr">
        <is>
          <t>Positive</t>
        </is>
      </c>
      <c r="E43" s="14" t="inlineStr">
        <is>
          <t>P1</t>
        </is>
      </c>
      <c r="F43" s="14" t="inlineStr">
        <is>
          <t>Template part</t>
        </is>
      </c>
      <c r="G43" s="14" t="inlineStr">
        <is>
          <t>Part detail page &gt; Variants &gt; New Variant</t>
        </is>
      </c>
      <c r="H43" s="14" t="inlineStr">
        <is>
          <t>Variant name</t>
        </is>
      </c>
      <c r="I43" s="14" t="inlineStr">
        <is>
          <t>1. New Variant
2. Submit Duplicate Part form</t>
        </is>
      </c>
      <c r="J43" s="14" t="inlineStr">
        <is>
          <t>Variant created with 'Variant of' = template; listed on Variants tab</t>
        </is>
      </c>
      <c r="K43" s="17" t="n"/>
      <c r="L43" s="17" t="inlineStr">
        <is>
          <t>Not Run</t>
        </is>
      </c>
      <c r="M43" s="14" t="n"/>
      <c r="N43" s="18" t="inlineStr">
        <is>
          <t>part/template</t>
        </is>
      </c>
    </row>
    <row r="44" ht="15" customHeight="1" s="10">
      <c r="A44" s="14" t="inlineStr">
        <is>
          <t>UI-ATT-003</t>
        </is>
      </c>
      <c r="B44" s="14" t="inlineStr">
        <is>
          <t>Part Attributes</t>
        </is>
      </c>
      <c r="C44" s="14" t="inlineStr">
        <is>
          <t>Template stock includes variant stock</t>
        </is>
      </c>
      <c r="D44" s="14" t="inlineStr">
        <is>
          <t>Positive</t>
        </is>
      </c>
      <c r="E44" s="14" t="inlineStr">
        <is>
          <t>P2</t>
        </is>
      </c>
      <c r="F44" s="14" t="inlineStr">
        <is>
          <t>Template with 2 variants holding stock</t>
        </is>
      </c>
      <c r="G44" s="14" t="inlineStr">
        <is>
          <t>Part detail page (template)</t>
        </is>
      </c>
      <c r="H44" s="14" t="inlineStr">
        <is>
          <t>-</t>
        </is>
      </c>
      <c r="I44" s="14" t="inlineStr">
        <is>
          <t>1. Check stock totals</t>
        </is>
      </c>
      <c r="J44" s="14" t="inlineStr">
        <is>
          <t>Template stock = sum of variant stock</t>
        </is>
      </c>
      <c r="K44" s="17" t="n"/>
      <c r="L44" s="17" t="inlineStr">
        <is>
          <t>Not Run</t>
        </is>
      </c>
      <c r="M44" s="14" t="n"/>
      <c r="N44" s="18" t="inlineStr">
        <is>
          <t>part/template</t>
        </is>
      </c>
    </row>
    <row r="45" ht="22.35" customHeight="1" s="10">
      <c r="A45" s="14" t="inlineStr">
        <is>
          <t>UI-ATT-004</t>
        </is>
      </c>
      <c r="B45" s="14" t="inlineStr">
        <is>
          <t>Part Attributes</t>
        </is>
      </c>
      <c r="C45" s="14" t="inlineStr">
        <is>
          <t>Serial numbers unique across template and variants</t>
        </is>
      </c>
      <c r="D45" s="14" t="inlineStr">
        <is>
          <t>Negative</t>
        </is>
      </c>
      <c r="E45" s="14" t="inlineStr">
        <is>
          <t>P2</t>
        </is>
      </c>
      <c r="F45" s="14" t="inlineStr">
        <is>
          <t>Trackable template, 2 variants; SN 100 on variant 1</t>
        </is>
      </c>
      <c r="G45" s="14" t="inlineStr">
        <is>
          <t>Part detail page (variant 2) &gt; New Stock Item</t>
        </is>
      </c>
      <c r="H45" s="14" t="inlineStr">
        <is>
          <t>Serial 100</t>
        </is>
      </c>
      <c r="I45" s="14" t="inlineStr">
        <is>
          <t>1. Create stock with SN 100</t>
        </is>
      </c>
      <c r="J45" s="14" t="inlineStr">
        <is>
          <t>Rejected as duplicate serial</t>
        </is>
      </c>
      <c r="K45" s="17" t="n"/>
      <c r="L45" s="17" t="inlineStr">
        <is>
          <t>Not Run</t>
        </is>
      </c>
      <c r="M45" s="14" t="n"/>
      <c r="N45" s="18" t="inlineStr">
        <is>
          <t>part/template</t>
        </is>
      </c>
    </row>
    <row r="46" ht="22.35" customHeight="1" s="10">
      <c r="A46" s="14" t="inlineStr">
        <is>
          <t>UI-ATT-005</t>
        </is>
      </c>
      <c r="B46" s="14" t="inlineStr">
        <is>
          <t>Part Attributes</t>
        </is>
      </c>
      <c r="C46" s="14" t="inlineStr">
        <is>
          <t>Trackable: serial number patterns and quantity mismatch</t>
        </is>
      </c>
      <c r="D46" s="14" t="inlineStr">
        <is>
          <t>Boundary</t>
        </is>
      </c>
      <c r="E46" s="14" t="inlineStr">
        <is>
          <t>P1</t>
        </is>
      </c>
      <c r="F46" s="14" t="inlineStr">
        <is>
          <t>Trackable part; next SN = 8</t>
        </is>
      </c>
      <c r="G46" s="14" t="inlineStr">
        <is>
          <t>Part detail page &gt; New Stock Item</t>
        </is>
      </c>
      <c r="H46" s="14" t="inlineStr">
        <is>
          <t>'1,3-5,9+2' (qty 7), '~', '4+' (qty 3), qty 3 with '1,2'</t>
        </is>
      </c>
      <c r="I46" s="14" t="inlineStr">
        <is>
          <t>1. Enter each pattern with matching quantity
2. Enter mismatched quantity</t>
        </is>
      </c>
      <c r="J46" s="14" t="inlineStr">
        <is>
          <t>Patterns expand correctly ([1,3,4,5,9,10,11], [8], [4,5,6]); mismatch rejected</t>
        </is>
      </c>
      <c r="K46" s="17" t="n"/>
      <c r="L46" s="17" t="inlineStr">
        <is>
          <t>Not Run</t>
        </is>
      </c>
      <c r="M46" s="14" t="n"/>
      <c r="N46" s="18" t="inlineStr">
        <is>
          <t>part/trackable</t>
        </is>
      </c>
    </row>
    <row r="47" ht="32.8" customHeight="1" s="10">
      <c r="A47" s="14" t="inlineStr">
        <is>
          <t>UI-ATT-006</t>
        </is>
      </c>
      <c r="B47" s="14" t="inlineStr">
        <is>
          <t>Part Attributes</t>
        </is>
      </c>
      <c r="C47" s="14" t="inlineStr">
        <is>
          <t>Purchaseable and Salable gate order forms</t>
        </is>
      </c>
      <c r="D47" s="14" t="inlineStr">
        <is>
          <t>Positive</t>
        </is>
      </c>
      <c r="E47" s="14" t="inlineStr">
        <is>
          <t>P2</t>
        </is>
      </c>
      <c r="F47" s="14" t="inlineStr">
        <is>
          <t>Part with Purchaseable and Salable off</t>
        </is>
      </c>
      <c r="G47" s="14" t="inlineStr">
        <is>
          <t>PO line / SO line forms</t>
        </is>
      </c>
      <c r="H47" s="14" t="inlineStr">
        <is>
          <t>-</t>
        </is>
      </c>
      <c r="I47" s="14" t="inlineStr">
        <is>
          <t>1. Try adding part to PO and SO
2. Enable both flags
3. Retry</t>
        </is>
      </c>
      <c r="J47" s="14" t="inlineStr">
        <is>
          <t>Part only offered on PO lines when Purchaseable and on SO lines when Salable</t>
        </is>
      </c>
      <c r="K47" s="17" t="n"/>
      <c r="L47" s="17" t="inlineStr">
        <is>
          <t>Not Run</t>
        </is>
      </c>
      <c r="M47" s="14" t="n"/>
      <c r="N47" s="18" t="inlineStr">
        <is>
          <t>part/index</t>
        </is>
      </c>
    </row>
    <row r="48" ht="43.25" customHeight="1" s="10">
      <c r="A48" s="14" t="inlineStr">
        <is>
          <t>UI-ATT-007</t>
        </is>
      </c>
      <c r="B48" s="14" t="inlineStr">
        <is>
          <t>Part Attributes</t>
        </is>
      </c>
      <c r="C48" s="14" t="inlineStr">
        <is>
          <t>Inactive part: badge, hidden from selectors, reactivation</t>
        </is>
      </c>
      <c r="D48" s="14" t="inlineStr">
        <is>
          <t>Negative</t>
        </is>
      </c>
      <c r="E48" s="14" t="inlineStr">
        <is>
          <t>P1</t>
        </is>
      </c>
      <c r="F48" s="14" t="inlineStr">
        <is>
          <t>Active part</t>
        </is>
      </c>
      <c r="G48" s="14" t="inlineStr">
        <is>
          <t>Part detail page &gt; Edit</t>
        </is>
      </c>
      <c r="H48" s="14" t="inlineStr">
        <is>
          <t>Active OFF, then ON</t>
        </is>
      </c>
      <c r="I48" s="14" t="inlineStr">
        <is>
          <t>1. Set inactive
2. Search it in BOM, PO line, SO line and build order selectors
3. Find via Active=No filter and reactivate</t>
        </is>
      </c>
      <c r="J48" s="14" t="inlineStr">
        <is>
          <t>Inactive badge shown; not offered in any selector; reactivated part selectable again</t>
        </is>
      </c>
      <c r="K48" s="17" t="n"/>
      <c r="L48" s="17" t="inlineStr">
        <is>
          <t>Not Run</t>
        </is>
      </c>
      <c r="M48" s="14" t="n"/>
      <c r="N48" s="18" t="inlineStr">
        <is>
          <t>part/index</t>
        </is>
      </c>
    </row>
    <row r="49" ht="22.35" customHeight="1" s="10">
      <c r="A49" s="14" t="inlineStr">
        <is>
          <t>UI-ATT-008</t>
        </is>
      </c>
      <c r="B49" s="14" t="inlineStr">
        <is>
          <t>Part Attributes</t>
        </is>
      </c>
      <c r="C49" s="14" t="inlineStr">
        <is>
          <t>Locked part: no delete, BOM read-only</t>
        </is>
      </c>
      <c r="D49" s="14" t="inlineStr">
        <is>
          <t>Negative</t>
        </is>
      </c>
      <c r="E49" s="14" t="inlineStr">
        <is>
          <t>P1</t>
        </is>
      </c>
      <c r="F49" s="14" t="inlineStr">
        <is>
          <t>Locked assembly (locking enabled)</t>
        </is>
      </c>
      <c r="G49" s="14" t="inlineStr">
        <is>
          <t>Part detail page</t>
        </is>
      </c>
      <c r="H49" s="14" t="inlineStr">
        <is>
          <t>-</t>
        </is>
      </c>
      <c r="I49" s="14" t="inlineStr">
        <is>
          <t>1. Try Delete
2. Try add/edit BOM item</t>
        </is>
      </c>
      <c r="J49" s="14" t="inlineStr">
        <is>
          <t>Delete blocked with 'locked' message; BOM changes blocked</t>
        </is>
      </c>
      <c r="K49" s="17" t="n"/>
      <c r="L49" s="17" t="inlineStr">
        <is>
          <t>Not Run</t>
        </is>
      </c>
      <c r="M49" s="14" t="n"/>
      <c r="N49" s="18" t="inlineStr">
        <is>
          <t>part/index</t>
        </is>
      </c>
    </row>
    <row r="50" ht="15" customHeight="1" s="10">
      <c r="A50" s="14" t="inlineStr">
        <is>
          <t>UI-ATT-009</t>
        </is>
      </c>
      <c r="B50" s="14" t="inlineStr">
        <is>
          <t>Part Attributes</t>
        </is>
      </c>
      <c r="C50" s="14" t="inlineStr">
        <is>
          <t>Active part cannot be deleted</t>
        </is>
      </c>
      <c r="D50" s="14" t="inlineStr">
        <is>
          <t>Negative</t>
        </is>
      </c>
      <c r="E50" s="14" t="inlineStr">
        <is>
          <t>P1</t>
        </is>
      </c>
      <c r="F50" s="14" t="inlineStr">
        <is>
          <t>Active part</t>
        </is>
      </c>
      <c r="G50" s="14" t="inlineStr">
        <is>
          <t>Part detail page &gt; actions &gt; Delete</t>
        </is>
      </c>
      <c r="H50" s="14" t="inlineStr">
        <is>
          <t>-</t>
        </is>
      </c>
      <c r="I50" s="14" t="inlineStr">
        <is>
          <t>1. Delete</t>
        </is>
      </c>
      <c r="J50" s="14" t="inlineStr">
        <is>
          <t>Blocked; message that the part is still active</t>
        </is>
      </c>
      <c r="K50" s="17" t="n"/>
      <c r="L50" s="17" t="inlineStr">
        <is>
          <t>Not Run</t>
        </is>
      </c>
      <c r="M50" s="14" t="n"/>
      <c r="N50" s="18" t="inlineStr">
        <is>
          <t>part/index</t>
        </is>
      </c>
    </row>
    <row r="51" ht="22.35" customHeight="1" s="10">
      <c r="A51" s="14" t="inlineStr">
        <is>
          <t>UI-UOM-001</t>
        </is>
      </c>
      <c r="B51" s="14" t="inlineStr">
        <is>
          <t>Units of Measure</t>
        </is>
      </c>
      <c r="C51" s="14" t="inlineStr">
        <is>
          <t>Part with physical unit; default is pieces</t>
        </is>
      </c>
      <c r="D51" s="14" t="inlineStr">
        <is>
          <t>Positive</t>
        </is>
      </c>
      <c r="E51" s="14" t="inlineStr">
        <is>
          <t>P1</t>
        </is>
      </c>
      <c r="F51" s="14" t="inlineStr">
        <is>
          <t>Logged in as user with Part view/add/change/delete roles</t>
        </is>
      </c>
      <c r="G51" s="14" t="inlineStr">
        <is>
          <t>Parts &gt; Parts table &gt; Create Part</t>
        </is>
      </c>
      <c r="H51" s="14" t="inlineStr">
        <is>
          <t>Units blank; Units=m</t>
        </is>
      </c>
      <c r="I51" s="14" t="inlineStr">
        <is>
          <t>1. Create part without units, add stock 5
2. Create 'Wire' with m, add stock 12.5</t>
        </is>
      </c>
      <c r="J51" s="14" t="inlineStr">
        <is>
          <t>Quantity 5 shown as pieces; 12.5 shown as m</t>
        </is>
      </c>
      <c r="K51" s="17" t="n"/>
      <c r="L51" s="17" t="inlineStr">
        <is>
          <t>Not Run</t>
        </is>
      </c>
      <c r="M51" s="14" t="n"/>
      <c r="N51" s="18" t="inlineStr">
        <is>
          <t>part/index</t>
        </is>
      </c>
    </row>
    <row r="52" ht="22.35" customHeight="1" s="10">
      <c r="A52" s="14" t="inlineStr">
        <is>
          <t>UI-UOM-002</t>
        </is>
      </c>
      <c r="B52" s="14" t="inlineStr">
        <is>
          <t>Units of Measure</t>
        </is>
      </c>
      <c r="C52" s="14" t="inlineStr">
        <is>
          <t>Invalid or wrong-case unit rejected</t>
        </is>
      </c>
      <c r="D52" s="14" t="inlineStr">
        <is>
          <t>Negative</t>
        </is>
      </c>
      <c r="E52" s="14" t="inlineStr">
        <is>
          <t>P1</t>
        </is>
      </c>
      <c r="F52" s="14" t="inlineStr">
        <is>
          <t>Logged in as user with Part view/add/change/delete roles</t>
        </is>
      </c>
      <c r="G52" s="14" t="inlineStr">
        <is>
          <t>Parts &gt; Parts table &gt; Create Part</t>
        </is>
      </c>
      <c r="H52" s="14" t="inlineStr">
        <is>
          <t>'KG', 'furlongz'; then 'kg'</t>
        </is>
      </c>
      <c r="I52" s="14" t="inlineStr">
        <is>
          <t>1. Submit each value</t>
        </is>
      </c>
      <c r="J52" s="14" t="inlineStr">
        <is>
          <t>'KG' and 'furlongz' rejected; 'kg' accepted</t>
        </is>
      </c>
      <c r="K52" s="17" t="n"/>
      <c r="L52" s="17" t="inlineStr">
        <is>
          <t>Not Run</t>
        </is>
      </c>
      <c r="M52" s="14" t="n"/>
      <c r="N52" s="18" t="inlineStr">
        <is>
          <t>concepts/units</t>
        </is>
      </c>
    </row>
    <row r="53" ht="22.35" customHeight="1" s="10">
      <c r="A53" s="14" t="inlineStr">
        <is>
          <t>UI-UOM-003</t>
        </is>
      </c>
      <c r="B53" s="14" t="inlineStr">
        <is>
          <t>Units of Measure</t>
        </is>
      </c>
      <c r="C53" s="14" t="inlineStr">
        <is>
          <t>Supplier part unit must be compatible</t>
        </is>
      </c>
      <c r="D53" s="14" t="inlineStr">
        <is>
          <t>Negative</t>
        </is>
      </c>
      <c r="E53" s="14" t="inlineStr">
        <is>
          <t>P1</t>
        </is>
      </c>
      <c r="F53" s="14" t="inlineStr">
        <is>
          <t>Part in m; supplier exists</t>
        </is>
      </c>
      <c r="G53" s="14" t="inlineStr">
        <is>
          <t>Part detail page &gt; Suppliers &gt; Add</t>
        </is>
      </c>
      <c r="H53" s="14" t="inlineStr">
        <is>
          <t>ft; kg</t>
        </is>
      </c>
      <c r="I53" s="14" t="inlineStr">
        <is>
          <t>1. Save with ft
2. Save with kg</t>
        </is>
      </c>
      <c r="J53" s="14" t="inlineStr">
        <is>
          <t>ft accepted; kg rejected as incompatible</t>
        </is>
      </c>
      <c r="K53" s="17" t="n"/>
      <c r="L53" s="17" t="inlineStr">
        <is>
          <t>Not Run</t>
        </is>
      </c>
      <c r="M53" s="14" t="n"/>
      <c r="N53" s="18" t="inlineStr">
        <is>
          <t>part/index</t>
        </is>
      </c>
    </row>
    <row r="54" ht="22.35" customHeight="1" s="10">
      <c r="A54" s="14" t="inlineStr">
        <is>
          <t>UI-UOM-004</t>
        </is>
      </c>
      <c r="B54" s="14" t="inlineStr">
        <is>
          <t>Units of Measure</t>
        </is>
      </c>
      <c r="C54" s="14" t="inlineStr">
        <is>
          <t>Custom unit defined in settings is usable</t>
        </is>
      </c>
      <c r="D54" s="14" t="inlineStr">
        <is>
          <t>Positive</t>
        </is>
      </c>
      <c r="E54" s="14" t="inlineStr">
        <is>
          <t>P2</t>
        </is>
      </c>
      <c r="F54" s="14" t="inlineStr">
        <is>
          <t>Admin</t>
        </is>
      </c>
      <c r="G54" s="14" t="inlineStr">
        <is>
          <t>Settings &gt; Physical Units</t>
        </is>
      </c>
      <c r="H54" s="14" t="inlineStr">
        <is>
          <t>reel = 1</t>
        </is>
      </c>
      <c r="I54" s="14" t="inlineStr">
        <is>
          <t>1. Create unit
2. Use 'reel' on a part</t>
        </is>
      </c>
      <c r="J54" s="14" t="inlineStr">
        <is>
          <t>Unit saved and accepted on the part</t>
        </is>
      </c>
      <c r="K54" s="17" t="n"/>
      <c r="L54" s="17" t="inlineStr">
        <is>
          <t>Not Run</t>
        </is>
      </c>
      <c r="M54" s="14" t="n"/>
      <c r="N54" s="18" t="inlineStr">
        <is>
          <t>concepts/units</t>
        </is>
      </c>
    </row>
    <row r="55" ht="22.35" customHeight="1" s="10">
      <c r="A55" s="14" t="inlineStr">
        <is>
          <t>UI-UOM-005</t>
        </is>
      </c>
      <c r="B55" s="14" t="inlineStr">
        <is>
          <t>Units of Measure</t>
        </is>
      </c>
      <c r="C55" s="14" t="inlineStr">
        <is>
          <t>Engineering and scientific notation</t>
        </is>
      </c>
      <c r="D55" s="14" t="inlineStr">
        <is>
          <t>Boundary</t>
        </is>
      </c>
      <c r="E55" s="14" t="inlineStr">
        <is>
          <t>P2</t>
        </is>
      </c>
      <c r="F55" s="14" t="inlineStr">
        <is>
          <t>Parameter template with units</t>
        </is>
      </c>
      <c r="G55" s="14" t="inlineStr">
        <is>
          <t>Part detail page &gt; Parameters</t>
        </is>
      </c>
      <c r="H55" s="14" t="inlineStr">
        <is>
          <t>10k3, 3n02, 1E-3, 1e3, 3', 3'6"</t>
        </is>
      </c>
      <c r="I55" s="14" t="inlineStr">
        <is>
          <t>1. Enter each value</t>
        </is>
      </c>
      <c r="J55" s="14" t="inlineStr">
        <is>
          <t>10k3, 3n02, 1E-3 and 3' accepted and converted; 1e3 and 3'6" rejected</t>
        </is>
      </c>
      <c r="K55" s="17" t="n"/>
      <c r="L55" s="17" t="inlineStr">
        <is>
          <t>Not Run</t>
        </is>
      </c>
      <c r="M55" s="14" t="n"/>
      <c r="N55" s="18" t="inlineStr">
        <is>
          <t>concepts/units</t>
        </is>
      </c>
    </row>
    <row r="56" ht="32.8" customHeight="1" s="10">
      <c r="A56" s="14" t="inlineStr">
        <is>
          <t>UI-REV-001</t>
        </is>
      </c>
      <c r="B56" s="14" t="inlineStr">
        <is>
          <t>Revisions</t>
        </is>
      </c>
      <c r="C56" s="14" t="inlineStr">
        <is>
          <t>Create revision via Duplicate Part</t>
        </is>
      </c>
      <c r="D56" s="14" t="inlineStr">
        <is>
          <t>Positive</t>
        </is>
      </c>
      <c r="E56" s="14" t="inlineStr">
        <is>
          <t>P1</t>
        </is>
      </c>
      <c r="F56" s="14" t="inlineStr">
        <is>
          <t>Assembly 'Board' rev A</t>
        </is>
      </c>
      <c r="G56" s="14" t="inlineStr">
        <is>
          <t>Part detail page &gt; actions &gt; Duplicate Part</t>
        </is>
      </c>
      <c r="H56" s="14" t="inlineStr">
        <is>
          <t>Revision Of=Board, Revision=B</t>
        </is>
      </c>
      <c r="I56" s="14" t="inlineStr">
        <is>
          <t>1. Duplicate
2. Set Revision Of and Revision
3. Submit</t>
        </is>
      </c>
      <c r="J56" s="14" t="inlineStr">
        <is>
          <t>Redirect to new part linked to Board as revision B</t>
        </is>
      </c>
      <c r="K56" s="17" t="n"/>
      <c r="L56" s="17" t="inlineStr">
        <is>
          <t>Not Run</t>
        </is>
      </c>
      <c r="M56" s="14" t="n"/>
      <c r="N56" s="18" t="inlineStr">
        <is>
          <t>part/revision</t>
        </is>
      </c>
    </row>
    <row r="57" ht="22.35" customHeight="1" s="10">
      <c r="A57" s="14" t="inlineStr">
        <is>
          <t>UI-REV-002</t>
        </is>
      </c>
      <c r="B57" s="14" t="inlineStr">
        <is>
          <t>Revisions</t>
        </is>
      </c>
      <c r="C57" s="14" t="inlineStr">
        <is>
          <t>Revision selector shown only when revisions exist</t>
        </is>
      </c>
      <c r="D57" s="14" t="inlineStr">
        <is>
          <t>Positive</t>
        </is>
      </c>
      <c r="E57" s="14" t="inlineStr">
        <is>
          <t>P2</t>
        </is>
      </c>
      <c r="F57" s="14" t="inlineStr">
        <is>
          <t>Parts with and without revisions</t>
        </is>
      </c>
      <c r="G57" s="14" t="inlineStr">
        <is>
          <t>Part detail page</t>
        </is>
      </c>
      <c r="H57" s="14" t="inlineStr">
        <is>
          <t>-</t>
        </is>
      </c>
      <c r="I57" s="14" t="inlineStr">
        <is>
          <t>1. Open part without revisions
2. Open part with revisions and switch</t>
        </is>
      </c>
      <c r="J57" s="14" t="inlineStr">
        <is>
          <t>Selector hidden / shown and navigates correctly</t>
        </is>
      </c>
      <c r="K57" s="17" t="n"/>
      <c r="L57" s="17" t="inlineStr">
        <is>
          <t>Not Run</t>
        </is>
      </c>
      <c r="M57" s="14" t="inlineStr">
        <is>
          <t>See OBS-03</t>
        </is>
      </c>
      <c r="N57" s="18" t="inlineStr">
        <is>
          <t>part/revision</t>
        </is>
      </c>
    </row>
    <row r="58" ht="15" customHeight="1" s="10">
      <c r="A58" s="14" t="inlineStr">
        <is>
          <t>UI-REV-003</t>
        </is>
      </c>
      <c r="B58" s="14" t="inlineStr">
        <is>
          <t>Revisions</t>
        </is>
      </c>
      <c r="C58" s="14" t="inlineStr">
        <is>
          <t>Part cannot be a revision of itself</t>
        </is>
      </c>
      <c r="D58" s="14" t="inlineStr">
        <is>
          <t>Negative</t>
        </is>
      </c>
      <c r="E58" s="14" t="inlineStr">
        <is>
          <t>P1</t>
        </is>
      </c>
      <c r="F58" s="14" t="inlineStr">
        <is>
          <t>Part 'Board'</t>
        </is>
      </c>
      <c r="G58" s="14" t="inlineStr">
        <is>
          <t>Part detail page &gt; Edit</t>
        </is>
      </c>
      <c r="H58" s="14" t="inlineStr">
        <is>
          <t>Revision Of = Board</t>
        </is>
      </c>
      <c r="I58" s="14" t="inlineStr">
        <is>
          <t>1. Submit</t>
        </is>
      </c>
      <c r="J58" s="14" t="inlineStr">
        <is>
          <t>Error 'Part cannot be a revision of itself'</t>
        </is>
      </c>
      <c r="K58" s="17" t="n"/>
      <c r="L58" s="17" t="inlineStr">
        <is>
          <t>Not Run</t>
        </is>
      </c>
      <c r="M58" s="14" t="n"/>
      <c r="N58" s="18" t="inlineStr">
        <is>
          <t>part/revision</t>
        </is>
      </c>
    </row>
    <row r="59" ht="22.35" customHeight="1" s="10">
      <c r="A59" s="14" t="inlineStr">
        <is>
          <t>UI-REV-004</t>
        </is>
      </c>
      <c r="B59" s="14" t="inlineStr">
        <is>
          <t>Revisions</t>
        </is>
      </c>
      <c r="C59" s="14" t="inlineStr">
        <is>
          <t>Revision code unique per part and mandatory</t>
        </is>
      </c>
      <c r="D59" s="14" t="inlineStr">
        <is>
          <t>Negative</t>
        </is>
      </c>
      <c r="E59" s="14" t="inlineStr">
        <is>
          <t>P1</t>
        </is>
      </c>
      <c r="F59" s="14" t="inlineStr">
        <is>
          <t>Board has revision B</t>
        </is>
      </c>
      <c r="G59" s="14" t="inlineStr">
        <is>
          <t>Part detail page &gt; Duplicate Part</t>
        </is>
      </c>
      <c r="H59" s="14" t="inlineStr">
        <is>
          <t>Revision=B; Revision blank</t>
        </is>
      </c>
      <c r="I59" s="14" t="inlineStr">
        <is>
          <t>1. Submit with B
2. Submit with blank revision</t>
        </is>
      </c>
      <c r="J59" s="14" t="inlineStr">
        <is>
          <t>'Duplicate part revision already exists.'; revision code required error</t>
        </is>
      </c>
      <c r="K59" s="17" t="n"/>
      <c r="L59" s="17" t="inlineStr">
        <is>
          <t>Not Run</t>
        </is>
      </c>
      <c r="M59" s="14" t="n"/>
      <c r="N59" s="18" t="inlineStr">
        <is>
          <t>part/revision</t>
        </is>
      </c>
    </row>
    <row r="60" ht="15" customHeight="1" s="10">
      <c r="A60" s="14" t="inlineStr">
        <is>
          <t>UI-REV-005</t>
        </is>
      </c>
      <c r="B60" s="14" t="inlineStr">
        <is>
          <t>Revisions</t>
        </is>
      </c>
      <c r="C60" s="14" t="inlineStr">
        <is>
          <t>Template part cannot have revisions</t>
        </is>
      </c>
      <c r="D60" s="14" t="inlineStr">
        <is>
          <t>Negative</t>
        </is>
      </c>
      <c r="E60" s="14" t="inlineStr">
        <is>
          <t>P1</t>
        </is>
      </c>
      <c r="F60" s="14" t="inlineStr">
        <is>
          <t>Template 'Widget'</t>
        </is>
      </c>
      <c r="G60" s="14" t="inlineStr">
        <is>
          <t>Part detail page &gt; Duplicate Part</t>
        </is>
      </c>
      <c r="H60" s="14" t="inlineStr">
        <is>
          <t>Revision Of=Widget</t>
        </is>
      </c>
      <c r="I60" s="14" t="inlineStr">
        <is>
          <t>1. Submit</t>
        </is>
      </c>
      <c r="J60" s="14" t="inlineStr">
        <is>
          <t>Error 'Cannot make a revision of a template part'</t>
        </is>
      </c>
      <c r="K60" s="17" t="n"/>
      <c r="L60" s="17" t="inlineStr">
        <is>
          <t>Not Run</t>
        </is>
      </c>
      <c r="M60" s="14" t="n"/>
      <c r="N60" s="18" t="inlineStr">
        <is>
          <t>part/revision</t>
        </is>
      </c>
    </row>
    <row r="61" ht="22.35" customHeight="1" s="10">
      <c r="A61" s="14" t="inlineStr">
        <is>
          <t>UI-REV-006</t>
        </is>
      </c>
      <c r="B61" s="14" t="inlineStr">
        <is>
          <t>Revisions</t>
        </is>
      </c>
      <c r="C61" s="14" t="inlineStr">
        <is>
          <t>Variant revisions must reference the same template</t>
        </is>
      </c>
      <c r="D61" s="14" t="inlineStr">
        <is>
          <t>Negative</t>
        </is>
      </c>
      <c r="E61" s="14" t="inlineStr">
        <is>
          <t>P2</t>
        </is>
      </c>
      <c r="F61" s="14" t="inlineStr">
        <is>
          <t>Variant Widget-01 of Widget; template Gadget</t>
        </is>
      </c>
      <c r="G61" s="14" t="inlineStr">
        <is>
          <t>Part detail page &gt; Duplicate Part</t>
        </is>
      </c>
      <c r="H61" s="14" t="inlineStr">
        <is>
          <t>Revision Of=Widget-01 with Variant Of=Widget, then Variant Of=Gadget</t>
        </is>
      </c>
      <c r="I61" s="14" t="inlineStr">
        <is>
          <t>1. Submit with Widget
2. Submit with Gadget</t>
        </is>
      </c>
      <c r="J61" s="14" t="inlineStr">
        <is>
          <t>Widget: revision created. Gadget: 'Parent part must point to the same template'</t>
        </is>
      </c>
      <c r="K61" s="17" t="n"/>
      <c r="L61" s="17" t="inlineStr">
        <is>
          <t>Not Run</t>
        </is>
      </c>
      <c r="M61" s="14" t="n"/>
      <c r="N61" s="18" t="inlineStr">
        <is>
          <t>part/revision</t>
        </is>
      </c>
    </row>
    <row r="62" ht="22.35" customHeight="1" s="10">
      <c r="A62" s="14" t="inlineStr">
        <is>
          <t>UI-REV-007</t>
        </is>
      </c>
      <c r="B62" s="14" t="inlineStr">
        <is>
          <t>Revisions</t>
        </is>
      </c>
      <c r="C62" s="14" t="inlineStr">
        <is>
          <t>Revision of a revision is prevented</t>
        </is>
      </c>
      <c r="D62" s="14" t="inlineStr">
        <is>
          <t>Negative</t>
        </is>
      </c>
      <c r="E62" s="14" t="inlineStr">
        <is>
          <t>P1</t>
        </is>
      </c>
      <c r="F62" s="14" t="inlineStr">
        <is>
          <t>Board rev B</t>
        </is>
      </c>
      <c r="G62" s="14" t="inlineStr">
        <is>
          <t>Part detail page &gt; Duplicate Part</t>
        </is>
      </c>
      <c r="H62" s="14" t="inlineStr">
        <is>
          <t>Revision Of = Board rev B, Revision=C</t>
        </is>
      </c>
      <c r="I62" s="14" t="inlineStr">
        <is>
          <t>1. Submit</t>
        </is>
      </c>
      <c r="J62" s="14" t="inlineStr">
        <is>
          <t>Error; revisions must reference the original part</t>
        </is>
      </c>
      <c r="K62" s="17" t="n"/>
      <c r="L62" s="17" t="inlineStr">
        <is>
          <t>Not Run</t>
        </is>
      </c>
      <c r="M62" s="14" t="inlineStr">
        <is>
          <t>See OBS-01</t>
        </is>
      </c>
      <c r="N62" s="18" t="inlineStr">
        <is>
          <t>part/revision</t>
        </is>
      </c>
    </row>
    <row r="63" ht="32.8" customHeight="1" s="10">
      <c r="A63" s="14" t="inlineStr">
        <is>
          <t>UI-REV-008</t>
        </is>
      </c>
      <c r="B63" s="14" t="inlineStr">
        <is>
          <t>Revisions</t>
        </is>
      </c>
      <c r="C63" s="14" t="inlineStr">
        <is>
          <t>Revision settings enforced</t>
        </is>
      </c>
      <c r="D63" s="14" t="inlineStr">
        <is>
          <t>Negative</t>
        </is>
      </c>
      <c r="E63" s="14" t="inlineStr">
        <is>
          <t>P2</t>
        </is>
      </c>
      <c r="F63" s="14" t="inlineStr">
        <is>
          <t>Toggle PART_REVISION_ASSEMBLY_ONLY and PART_ENABLE_REVISION</t>
        </is>
      </c>
      <c r="G63" s="14" t="inlineStr">
        <is>
          <t>Part detail page &gt; Duplicate Part</t>
        </is>
      </c>
      <c r="H63" s="14" t="inlineStr">
        <is>
          <t>Non-assembly part</t>
        </is>
      </c>
      <c r="I63" s="14" t="inlineStr">
        <is>
          <t>1. ASSEMBLY_ONLY on: make revision of non-assembly
2. ENABLE_REVISION off: open form</t>
        </is>
      </c>
      <c r="J63" s="14" t="inlineStr">
        <is>
          <t>1: 'Revisions are only allowed for assembly parts'. 2: revision fields and selector not available</t>
        </is>
      </c>
      <c r="K63" s="17" t="n"/>
      <c r="L63" s="17" t="inlineStr">
        <is>
          <t>Not Run</t>
        </is>
      </c>
      <c r="M63" s="14" t="n"/>
      <c r="N63" s="18" t="inlineStr">
        <is>
          <t>part/revision</t>
        </is>
      </c>
    </row>
    <row r="64" ht="22.35" customHeight="1" s="10">
      <c r="A64" s="14" t="inlineStr">
        <is>
          <t>UI-NEG-001</t>
        </is>
      </c>
      <c r="B64" s="14" t="inlineStr">
        <is>
          <t>Negative &amp; Boundary</t>
        </is>
      </c>
      <c r="C64" s="14" t="inlineStr">
        <is>
          <t>Duplicate IPN per setting</t>
        </is>
      </c>
      <c r="D64" s="14" t="inlineStr">
        <is>
          <t>Negative</t>
        </is>
      </c>
      <c r="E64" s="14" t="inlineStr">
        <is>
          <t>P1</t>
        </is>
      </c>
      <c r="F64" s="14" t="inlineStr">
        <is>
          <t>IPN 'R-001' exists</t>
        </is>
      </c>
      <c r="G64" s="14" t="inlineStr">
        <is>
          <t>Parts &gt; Parts table &gt; Create Part</t>
        </is>
      </c>
      <c r="H64" s="14" t="inlineStr">
        <is>
          <t>IPN='R-001'</t>
        </is>
      </c>
      <c r="I64" s="14" t="inlineStr">
        <is>
          <t>1. Default settings: submit
2. Disable Allow Duplicate IPN: submit again</t>
        </is>
      </c>
      <c r="J64" s="14" t="inlineStr">
        <is>
          <t>Default: created. Disabled: 'Duplicate IPN not allowed in part settings'</t>
        </is>
      </c>
      <c r="K64" s="17" t="n"/>
      <c r="L64" s="17" t="inlineStr">
        <is>
          <t>Not Run</t>
        </is>
      </c>
      <c r="M64" s="14" t="inlineStr">
        <is>
          <t>See OBS-02</t>
        </is>
      </c>
      <c r="N64" s="18" t="inlineStr">
        <is>
          <t>part/index</t>
        </is>
      </c>
    </row>
    <row r="65" ht="22.35" customHeight="1" s="10">
      <c r="A65" s="14" t="inlineStr">
        <is>
          <t>UI-NEG-002</t>
        </is>
      </c>
      <c r="B65" s="14" t="inlineStr">
        <is>
          <t>Negative &amp; Boundary</t>
        </is>
      </c>
      <c r="C65" s="14" t="inlineStr">
        <is>
          <t>Same Name + IPN + Revision rejected</t>
        </is>
      </c>
      <c r="D65" s="14" t="inlineStr">
        <is>
          <t>Negative</t>
        </is>
      </c>
      <c r="E65" s="14" t="inlineStr">
        <is>
          <t>P1</t>
        </is>
      </c>
      <c r="F65" s="14" t="inlineStr">
        <is>
          <t>Part X / IPN Y / Rev A</t>
        </is>
      </c>
      <c r="G65" s="14" t="inlineStr">
        <is>
          <t>Parts &gt; Parts table &gt; Create Part</t>
        </is>
      </c>
      <c r="H65" s="14" t="inlineStr">
        <is>
          <t>Same values</t>
        </is>
      </c>
      <c r="I65" s="14" t="inlineStr">
        <is>
          <t>1. Submit</t>
        </is>
      </c>
      <c r="J65" s="14" t="inlineStr">
        <is>
          <t>'Part with this Name, IPN and Revision already exists.'</t>
        </is>
      </c>
      <c r="K65" s="17" t="n"/>
      <c r="L65" s="17" t="inlineStr">
        <is>
          <t>Not Run</t>
        </is>
      </c>
      <c r="M65" s="14" t="n"/>
      <c r="N65" s="18" t="inlineStr">
        <is>
          <t>part/views</t>
        </is>
      </c>
    </row>
    <row r="66" ht="32.8" customHeight="1" s="10">
      <c r="A66" s="14" t="inlineStr">
        <is>
          <t>UI-NEG-003</t>
        </is>
      </c>
      <c r="B66" s="14" t="inlineStr">
        <is>
          <t>Negative &amp; Boundary</t>
        </is>
      </c>
      <c r="C66" s="14" t="inlineStr">
        <is>
          <t>Field boundaries: lengths and negative numbers</t>
        </is>
      </c>
      <c r="D66" s="14" t="inlineStr">
        <is>
          <t>Boundary</t>
        </is>
      </c>
      <c r="E66" s="14" t="inlineStr">
        <is>
          <t>P2</t>
        </is>
      </c>
      <c r="F66" s="14" t="inlineStr">
        <is>
          <t>Logged in as user with Part view/add/change/delete roles</t>
        </is>
      </c>
      <c r="G66" s="14" t="inlineStr">
        <is>
          <t>Parts &gt; Parts table &gt; Create Part</t>
        </is>
      </c>
      <c r="H66" s="14" t="inlineStr">
        <is>
          <t>Name/IPN 100 &amp; 101 chars; Description 250 &amp; 251; Min stock -1; Default expiry -1</t>
        </is>
      </c>
      <c r="I66" s="14" t="inlineStr">
        <is>
          <t>1. Submit max values
2. Submit max+1 and negative values</t>
        </is>
      </c>
      <c r="J66" s="14" t="inlineStr">
        <is>
          <t>Max accepted; max+1 and negatives show field errors</t>
        </is>
      </c>
      <c r="K66" s="17" t="n"/>
      <c r="L66" s="17" t="inlineStr">
        <is>
          <t>Not Run</t>
        </is>
      </c>
      <c r="M66" s="14" t="n"/>
      <c r="N66" s="18" t="inlineStr">
        <is>
          <t>part/views</t>
        </is>
      </c>
    </row>
    <row r="67" ht="22.35" customHeight="1" s="10">
      <c r="A67" s="14" t="inlineStr">
        <is>
          <t>UI-NEG-004</t>
        </is>
      </c>
      <c r="B67" s="14" t="inlineStr">
        <is>
          <t>Negative &amp; Boundary</t>
        </is>
      </c>
      <c r="C67" s="14" t="inlineStr">
        <is>
          <t>HTML / script in text fields rejected</t>
        </is>
      </c>
      <c r="D67" s="14" t="inlineStr">
        <is>
          <t>Negative</t>
        </is>
      </c>
      <c r="E67" s="14" t="inlineStr">
        <is>
          <t>P2</t>
        </is>
      </c>
      <c r="F67" s="14" t="inlineStr">
        <is>
          <t>Logged in as user with Part view/add/change/delete roles</t>
        </is>
      </c>
      <c r="G67" s="14" t="inlineStr">
        <is>
          <t>Parts &gt; Parts table &gt; Create Part</t>
        </is>
      </c>
      <c r="H67" s="14" t="inlineStr">
        <is>
          <t>Name='&lt;script&gt;alert(1)&lt;/script&gt;'</t>
        </is>
      </c>
      <c r="I67" s="14" t="inlineStr">
        <is>
          <t>1. Submit</t>
        </is>
      </c>
      <c r="J67" s="14" t="inlineStr">
        <is>
          <t>'Remove HTML tags from this value'; nothing executed</t>
        </is>
      </c>
      <c r="K67" s="17" t="n"/>
      <c r="L67" s="17" t="inlineStr">
        <is>
          <t>Not Run</t>
        </is>
      </c>
      <c r="M67" s="14" t="n"/>
      <c r="N67" s="18" t="inlineStr">
        <is>
          <t>part/views</t>
        </is>
      </c>
    </row>
    <row r="68" ht="85.05" customHeight="1" s="10">
      <c r="A68" s="14" t="inlineStr">
        <is>
          <t>UI-E2E-001</t>
        </is>
      </c>
      <c r="B68" s="14" t="inlineStr">
        <is>
          <t>End-to-End Flows</t>
        </is>
      </c>
      <c r="C68" s="14" t="inlineStr">
        <is>
          <t>Procure to stock: new purchaseable part through purchase order receipt</t>
        </is>
      </c>
      <c r="D68" s="14" t="inlineStr">
        <is>
          <t>Positive</t>
        </is>
      </c>
      <c r="E68" s="14" t="inlineStr">
        <is>
          <t>P1</t>
        </is>
      </c>
      <c r="F68" s="14" t="inlineStr">
        <is>
          <t>Supplier ACME; stock location 'Store A'</t>
        </is>
      </c>
      <c r="G68" s="14" t="inlineStr">
        <is>
          <t>Parts &gt; Create Part → Purchasing &gt; Purchase Orders</t>
        </is>
      </c>
      <c r="H68" s="14" t="inlineStr">
        <is>
          <t>Part 'Cap-100nF', default location Store A, SKU AC-100, qty 500</t>
        </is>
      </c>
      <c r="I68" s="14" t="inlineStr">
        <is>
          <t>1. Create purchaseable part with default location and supplier data
2. Create PO for ACME, add line AC-100 x500
3. Issue PO
4. Receive all items
5. Open part &gt; Stock and Purchase Orders tabs</t>
        </is>
      </c>
      <c r="J68" s="14" t="inlineStr">
        <is>
          <t>PO line offered only this supplier part; receipt creates 500 in stock at Store A; part In Stock = 500; PO shown on Purchase Orders tab as complete</t>
        </is>
      </c>
      <c r="K68" s="17" t="n"/>
      <c r="L68" s="17" t="inlineStr">
        <is>
          <t>Not Run</t>
        </is>
      </c>
      <c r="M68" s="14" t="n"/>
      <c r="N68" s="18" t="inlineStr">
        <is>
          <t>part/create</t>
        </is>
      </c>
    </row>
    <row r="69" ht="74.59999999999999" customHeight="1" s="10">
      <c r="A69" s="14" t="inlineStr">
        <is>
          <t>UI-E2E-002</t>
        </is>
      </c>
      <c r="B69" s="14" t="inlineStr">
        <is>
          <t>End-to-End Flows</t>
        </is>
      </c>
      <c r="C69" s="14" t="inlineStr">
        <is>
          <t>Design to build: assembly with BOM built from stocked components</t>
        </is>
      </c>
      <c r="D69" s="14" t="inlineStr">
        <is>
          <t>Positive</t>
        </is>
      </c>
      <c r="E69" s="14" t="inlineStr">
        <is>
          <t>P1</t>
        </is>
      </c>
      <c r="F69" s="14" t="inlineStr">
        <is>
          <t>Components R1 (stock 100) and C1 (stock 50), both Component</t>
        </is>
      </c>
      <c r="G69" s="14" t="inlineStr">
        <is>
          <t>Parts → Bill of Materials → Build Orders</t>
        </is>
      </c>
      <c r="H69" s="14" t="inlineStr">
        <is>
          <t>Assembly 'PCB-A': R1 x4, C1 x2; build qty 10</t>
        </is>
      </c>
      <c r="I69" s="14" t="inlineStr">
        <is>
          <t>1. Create assembly PCB-A
2. Add BOM items
3. Create build order qty 10
4. Allocate stock
5. Check R1 Allocations tab
6. Complete build
7. Check stock of PCB-A, R1, C1</t>
        </is>
      </c>
      <c r="J69" s="14" t="inlineStr">
        <is>
          <t>R1 Allocations shows 40 for the build; after completion PCB-A stock 10, R1 60, C1 30; Used In on R1 lists PCB-A; Build Orders tab shows build complete</t>
        </is>
      </c>
      <c r="K69" s="17" t="n"/>
      <c r="L69" s="17" t="inlineStr">
        <is>
          <t>Not Run</t>
        </is>
      </c>
      <c r="M69" s="14" t="n"/>
      <c r="N69" s="18" t="inlineStr">
        <is>
          <t>part/views</t>
        </is>
      </c>
    </row>
    <row r="70" ht="43.25" customHeight="1" s="10">
      <c r="A70" s="14" t="inlineStr">
        <is>
          <t>UI-E2E-003</t>
        </is>
      </c>
      <c r="B70" s="14" t="inlineStr">
        <is>
          <t>End-to-End Flows</t>
        </is>
      </c>
      <c r="C70" s="14" t="inlineStr">
        <is>
          <t>Sell a physical part and a virtual service</t>
        </is>
      </c>
      <c r="D70" s="14" t="inlineStr">
        <is>
          <t>Positive</t>
        </is>
      </c>
      <c r="E70" s="14" t="inlineStr">
        <is>
          <t>P1</t>
        </is>
      </c>
      <c r="F70" s="14" t="inlineStr">
        <is>
          <t>Salable part 'Kit' (stock 20); salable virtual part 'Install Service'; customer exists</t>
        </is>
      </c>
      <c r="G70" s="14" t="inlineStr">
        <is>
          <t>Sales &gt; Sales Orders</t>
        </is>
      </c>
      <c r="H70" s="14" t="inlineStr">
        <is>
          <t>Kit x5, Install Service x1</t>
        </is>
      </c>
      <c r="I70" s="14" t="inlineStr">
        <is>
          <t>1. Create SO with both lines
2. Allocate stock
3. Ship and complete order
4. Check Kit stock and Sales Orders tab</t>
        </is>
      </c>
      <c r="J70" s="14" t="inlineStr">
        <is>
          <t>Only Kit requires allocation; service line needs none; Kit stock 15; order listed on both parts' Sales Orders tabs</t>
        </is>
      </c>
      <c r="K70" s="17" t="n"/>
      <c r="L70" s="17" t="inlineStr">
        <is>
          <t>Not Run</t>
        </is>
      </c>
      <c r="M70" s="14" t="n"/>
      <c r="N70" s="18" t="inlineStr">
        <is>
          <t>part/virtual</t>
        </is>
      </c>
    </row>
    <row r="71" ht="64.15000000000001" customHeight="1" s="10">
      <c r="A71" s="14" t="inlineStr">
        <is>
          <t>UI-E2E-004</t>
        </is>
      </c>
      <c r="B71" s="14" t="inlineStr">
        <is>
          <t>End-to-End Flows</t>
        </is>
      </c>
      <c r="C71" s="14" t="inlineStr">
        <is>
          <t>Template with tracked variants and test results</t>
        </is>
      </c>
      <c r="D71" s="14" t="inlineStr">
        <is>
          <t>Positive</t>
        </is>
      </c>
      <c r="E71" s="14" t="inlineStr">
        <is>
          <t>P1</t>
        </is>
      </c>
      <c r="F71" s="14" t="inlineStr">
        <is>
          <t>Template 'Widget' (Trackable, Testable)</t>
        </is>
      </c>
      <c r="G71" s="14" t="inlineStr">
        <is>
          <t>Part detail → Variants → Stock</t>
        </is>
      </c>
      <c r="H71" s="14" t="inlineStr">
        <is>
          <t>Variants Widget-R, Widget-B; test 'Firmware Version' (Required, Requires Value)</t>
        </is>
      </c>
      <c r="I71" s="14" t="inlineStr">
        <is>
          <t>1. Add test template on Widget
2. Create two variants
3. Add serialised stock SN 1-3 to Widget-R
4. Try SN 2 on Widget-B
5. Record test results for SN 1
6. Open Widget stock and Test Results</t>
        </is>
      </c>
      <c r="J71" s="14" t="inlineStr">
        <is>
          <t>Variants inherit test template; duplicate SN 2 rejected; result recorded against SN 1; Widget stock totals 3; Test Results tab shows the result</t>
        </is>
      </c>
      <c r="K71" s="17" t="n"/>
      <c r="L71" s="17" t="inlineStr">
        <is>
          <t>Not Run</t>
        </is>
      </c>
      <c r="M71" s="14" t="n"/>
      <c r="N71" s="18" t="inlineStr">
        <is>
          <t>part/template</t>
        </is>
      </c>
    </row>
    <row r="72" ht="64.15000000000001" customHeight="1" s="10">
      <c r="A72" s="14" t="inlineStr">
        <is>
          <t>UI-E2E-005</t>
        </is>
      </c>
      <c r="B72" s="14" t="inlineStr">
        <is>
          <t>End-to-End Flows</t>
        </is>
      </c>
      <c r="C72" s="14" t="inlineStr">
        <is>
          <t>Revision lifecycle without disturbing live data</t>
        </is>
      </c>
      <c r="D72" s="14" t="inlineStr">
        <is>
          <t>Positive</t>
        </is>
      </c>
      <c r="E72" s="14" t="inlineStr">
        <is>
          <t>P1</t>
        </is>
      </c>
      <c r="F72" s="14" t="inlineStr">
        <is>
          <t>Assembly 'Board' rev A with BOM, stock and a completed build</t>
        </is>
      </c>
      <c r="G72" s="14" t="inlineStr">
        <is>
          <t>Part detail &gt; Duplicate Part</t>
        </is>
      </c>
      <c r="H72" s="14" t="inlineStr">
        <is>
          <t>Revision B; BOM change: replace C1 with C2</t>
        </is>
      </c>
      <c r="I72" s="14" t="inlineStr">
        <is>
          <t>1. Duplicate Board as Revision Of=Board, Revision=B (copy BOM)
2. Change rev B BOM
3. Check rev A BOM, stock and build
4. Mark rev A inactive
5. Try to add rev A to a new BOM / build</t>
        </is>
      </c>
      <c r="J72" s="14" t="inlineStr">
        <is>
          <t>Rev B created and navigable via selector; rev A data unchanged; inactive rev A not offered in new BOM/build forms</t>
        </is>
      </c>
      <c r="K72" s="17" t="n"/>
      <c r="L72" s="17" t="inlineStr">
        <is>
          <t>Not Run</t>
        </is>
      </c>
      <c r="M72" s="14" t="n"/>
      <c r="N72" s="18" t="inlineStr">
        <is>
          <t>part/revision</t>
        </is>
      </c>
    </row>
    <row r="73" ht="43.25" customHeight="1" s="10">
      <c r="A73" s="14" t="inlineStr">
        <is>
          <t>UI-E2E-006</t>
        </is>
      </c>
      <c r="B73" s="14" t="inlineStr">
        <is>
          <t>End-to-End Flows</t>
        </is>
      </c>
      <c r="C73" s="14" t="inlineStr">
        <is>
          <t>Bulk import to parametric search</t>
        </is>
      </c>
      <c r="D73" s="14" t="inlineStr">
        <is>
          <t>Positive</t>
        </is>
      </c>
      <c r="E73" s="14" t="inlineStr">
        <is>
          <t>P2</t>
        </is>
      </c>
      <c r="F73" s="14" t="inlineStr">
        <is>
          <t>Category 'Resistors' with parameter template Resistance (ohm)</t>
        </is>
      </c>
      <c r="G73" s="14" t="inlineStr">
        <is>
          <t>Import from File → Parameters → Parametric View</t>
        </is>
      </c>
      <c r="H73" s="14" t="inlineStr">
        <is>
          <t>CSV of 10 resistors; values 100 to 1M</t>
        </is>
      </c>
      <c r="I73" s="14" t="inlineStr">
        <is>
          <t>1. Import 10 parts into Resistors
2. Add Resistance parameter to each (mixed notation e.g. 4k7, 10000)
3. Parametric View: filter &gt; 10k, sort</t>
        </is>
      </c>
      <c r="J73" s="14" t="inlineStr">
        <is>
          <t>All parts imported; values normalised; filter returns only parts &gt; 10k ohm in correct order</t>
        </is>
      </c>
      <c r="K73" s="17" t="n"/>
      <c r="L73" s="17" t="inlineStr">
        <is>
          <t>Not Run</t>
        </is>
      </c>
      <c r="M73" s="14" t="n"/>
      <c r="N73" s="18" t="inlineStr">
        <is>
          <t>concepts/parameters</t>
        </is>
      </c>
    </row>
    <row r="74" ht="32.8" customHeight="1" s="10">
      <c r="A74" s="14" t="inlineStr">
        <is>
          <t>UI-E2E-007</t>
        </is>
      </c>
      <c r="B74" s="14" t="inlineStr">
        <is>
          <t>End-to-End Flows</t>
        </is>
      </c>
      <c r="C74" s="14" t="inlineStr">
        <is>
          <t>Units conversion through purchasing</t>
        </is>
      </c>
      <c r="D74" s="14" t="inlineStr">
        <is>
          <t>Positive</t>
        </is>
      </c>
      <c r="E74" s="14" t="inlineStr">
        <is>
          <t>P2</t>
        </is>
      </c>
      <c r="F74" s="14" t="inlineStr">
        <is>
          <t>Part 'Wire' in m; supplier sells by the ft</t>
        </is>
      </c>
      <c r="G74" s="14" t="inlineStr">
        <is>
          <t>Suppliers tab → Purchase Orders</t>
        </is>
      </c>
      <c r="H74" s="14" t="inlineStr">
        <is>
          <t>Supplier part pack in ft; order 100 ft</t>
        </is>
      </c>
      <c r="I74" s="14" t="inlineStr">
        <is>
          <t>1. Add supplier part in ft
2. Create and receive PO for 100 ft
3. Check Wire stock</t>
        </is>
      </c>
      <c r="J74" s="14" t="inlineStr">
        <is>
          <t>Received stock stored as 30.48 m</t>
        </is>
      </c>
      <c r="K74" s="17" t="n"/>
      <c r="L74" s="17" t="inlineStr">
        <is>
          <t>Not Run</t>
        </is>
      </c>
      <c r="M74" s="14" t="n"/>
      <c r="N74" s="18" t="inlineStr">
        <is>
          <t>concepts/units</t>
        </is>
      </c>
    </row>
    <row r="75" ht="43.25" customHeight="1" s="10">
      <c r="A75" s="14" t="inlineStr">
        <is>
          <t>UI-E2E-008</t>
        </is>
      </c>
      <c r="B75" s="14" t="inlineStr">
        <is>
          <t>End-to-End Flows</t>
        </is>
      </c>
      <c r="C75" s="14" t="inlineStr">
        <is>
          <t>Obsolescence: lock, deactivate, delete</t>
        </is>
      </c>
      <c r="D75" s="14" t="inlineStr">
        <is>
          <t>Positive</t>
        </is>
      </c>
      <c r="E75" s="14" t="inlineStr">
        <is>
          <t>P2</t>
        </is>
      </c>
      <c r="F75" s="14" t="inlineStr">
        <is>
          <t>Part in use in a BOM, locking enabled</t>
        </is>
      </c>
      <c r="G75" s="14" t="inlineStr">
        <is>
          <t>Part detail page</t>
        </is>
      </c>
      <c r="H75" s="14" t="inlineStr">
        <is>
          <t>-</t>
        </is>
      </c>
      <c r="I75" s="14" t="inlineStr">
        <is>
          <t>1. Lock part; try edit parameters and delete
2. Unlock; try delete while active
3. Remove from BOM, set inactive, delete
4. Search for the part</t>
        </is>
      </c>
      <c r="J75" s="14" t="inlineStr">
        <is>
          <t>Step 1 blocked (locked); step 2 blocked (active); step 3 succeeds; part no longer found</t>
        </is>
      </c>
      <c r="K75" s="17" t="n"/>
      <c r="L75" s="17" t="inlineStr">
        <is>
          <t>Not Run</t>
        </is>
      </c>
      <c r="M75" s="14" t="n"/>
      <c r="N75" s="18" t="inlineStr">
        <is>
          <t>part/index</t>
        </is>
      </c>
    </row>
  </sheetData>
  <conditionalFormatting sqref="L2:L75">
    <cfRule type="cellIs" rank="0" priority="2" equalAverage="0" operator="equal" aboveAverage="0" dxfId="4" text="" percent="0" bottom="0">
      <formula>"Pass"</formula>
    </cfRule>
    <cfRule type="cellIs" rank="0" priority="3" equalAverage="0" operator="equal" aboveAverage="0" dxfId="5" text="" percent="0" bottom="0">
      <formula>"Fail"</formula>
    </cfRule>
    <cfRule type="cellIs" rank="0" priority="4" equalAverage="0" operator="equal" aboveAverage="0" dxfId="6" text="" percent="0" bottom="0">
      <formula>"Blocked"</formula>
    </cfRule>
  </conditionalFormatting>
  <dataValidations count="1">
    <dataValidation sqref="L2:L75" showDropDown="0" showInputMessage="0" showErrorMessage="0" allowBlank="1" type="list" errorStyle="stop" operator="between">
      <formula1>"Not Run,Pass,Fail,Blocked"</formula1>
      <formula2>0</formula2>
    </dataValidation>
  </dataValidations>
  <hyperlinks>
    <hyperlink xmlns:r="http://schemas.openxmlformats.org/officeDocument/2006/relationships" ref="N2" display="part/create" r:id="rId1"/>
    <hyperlink xmlns:r="http://schemas.openxmlformats.org/officeDocument/2006/relationships" ref="N3" display="part/create" r:id="rId2"/>
    <hyperlink xmlns:r="http://schemas.openxmlformats.org/officeDocument/2006/relationships" ref="N4" display="part/create" r:id="rId3"/>
    <hyperlink xmlns:r="http://schemas.openxmlformats.org/officeDocument/2006/relationships" ref="N5" display="part/create" r:id="rId4"/>
    <hyperlink xmlns:r="http://schemas.openxmlformats.org/officeDocument/2006/relationships" ref="N6" display="part/create" r:id="rId5"/>
    <hyperlink xmlns:r="http://schemas.openxmlformats.org/officeDocument/2006/relationships" ref="N7" display="part/create" r:id="rId6"/>
    <hyperlink xmlns:r="http://schemas.openxmlformats.org/officeDocument/2006/relationships" ref="N8" display="part/index" r:id="rId7"/>
    <hyperlink xmlns:r="http://schemas.openxmlformats.org/officeDocument/2006/relationships" ref="N9" display="part/create" r:id="rId8"/>
    <hyperlink xmlns:r="http://schemas.openxmlformats.org/officeDocument/2006/relationships" ref="N10" display="concepts/data_import" r:id="rId9"/>
    <hyperlink xmlns:r="http://schemas.openxmlformats.org/officeDocument/2006/relationships" ref="N11" display="concepts/data_import" r:id="rId10"/>
    <hyperlink xmlns:r="http://schemas.openxmlformats.org/officeDocument/2006/relationships" ref="N12" display="concepts/data_import" r:id="rId11"/>
    <hyperlink xmlns:r="http://schemas.openxmlformats.org/officeDocument/2006/relationships" ref="N13" display="concepts/data_import" r:id="rId12"/>
    <hyperlink xmlns:r="http://schemas.openxmlformats.org/officeDocument/2006/relationships" ref="N14" display="part/views" r:id="rId13"/>
    <hyperlink xmlns:r="http://schemas.openxmlformats.org/officeDocument/2006/relationships" ref="N15" display="part/views" r:id="rId14"/>
    <hyperlink xmlns:r="http://schemas.openxmlformats.org/officeDocument/2006/relationships" ref="N16" display="part/views" r:id="rId15"/>
    <hyperlink xmlns:r="http://schemas.openxmlformats.org/officeDocument/2006/relationships" ref="N17" display="part/views" r:id="rId16"/>
    <hyperlink xmlns:r="http://schemas.openxmlformats.org/officeDocument/2006/relationships" ref="N18" display="part/index" r:id="rId17"/>
    <hyperlink xmlns:r="http://schemas.openxmlformats.org/officeDocument/2006/relationships" ref="N19" display="part/views" r:id="rId18"/>
    <hyperlink xmlns:r="http://schemas.openxmlformats.org/officeDocument/2006/relationships" ref="N20" display="part/views" r:id="rId19"/>
    <hyperlink xmlns:r="http://schemas.openxmlformats.org/officeDocument/2006/relationships" ref="N21" display="part/views" r:id="rId20"/>
    <hyperlink xmlns:r="http://schemas.openxmlformats.org/officeDocument/2006/relationships" ref="N22" display="part/views" r:id="rId21"/>
    <hyperlink xmlns:r="http://schemas.openxmlformats.org/officeDocument/2006/relationships" ref="N23" display="part/views" r:id="rId22"/>
    <hyperlink xmlns:r="http://schemas.openxmlformats.org/officeDocument/2006/relationships" ref="N24" display="concepts/parameters" r:id="rId23"/>
    <hyperlink xmlns:r="http://schemas.openxmlformats.org/officeDocument/2006/relationships" ref="N25" display="part/views" r:id="rId24"/>
    <hyperlink xmlns:r="http://schemas.openxmlformats.org/officeDocument/2006/relationships" ref="N26" display="part/views" r:id="rId25"/>
    <hyperlink xmlns:r="http://schemas.openxmlformats.org/officeDocument/2006/relationships" ref="N27" display="part/test" r:id="rId26"/>
    <hyperlink xmlns:r="http://schemas.openxmlformats.org/officeDocument/2006/relationships" ref="N28" display="part/test" r:id="rId27"/>
    <hyperlink xmlns:r="http://schemas.openxmlformats.org/officeDocument/2006/relationships" ref="N29" display="part/index" r:id="rId28"/>
    <hyperlink xmlns:r="http://schemas.openxmlformats.org/officeDocument/2006/relationships" ref="N30" display="part/index" r:id="rId29"/>
    <hyperlink xmlns:r="http://schemas.openxmlformats.org/officeDocument/2006/relationships" ref="N31" display="part/index" r:id="rId30"/>
    <hyperlink xmlns:r="http://schemas.openxmlformats.org/officeDocument/2006/relationships" ref="N32" display="part/index" r:id="rId31"/>
    <hyperlink xmlns:r="http://schemas.openxmlformats.org/officeDocument/2006/relationships" ref="N33" display="part/index" r:id="rId32"/>
    <hyperlink xmlns:r="http://schemas.openxmlformats.org/officeDocument/2006/relationships" ref="N34" display="concepts/parameters" r:id="rId33"/>
    <hyperlink xmlns:r="http://schemas.openxmlformats.org/officeDocument/2006/relationships" ref="N35" display="concepts/parameters" r:id="rId34"/>
    <hyperlink xmlns:r="http://schemas.openxmlformats.org/officeDocument/2006/relationships" ref="N36" display="concepts/parameters" r:id="rId35"/>
    <hyperlink xmlns:r="http://schemas.openxmlformats.org/officeDocument/2006/relationships" ref="N37" display="concepts/parameters" r:id="rId36"/>
    <hyperlink xmlns:r="http://schemas.openxmlformats.org/officeDocument/2006/relationships" ref="N38" display="concepts/parameters" r:id="rId37"/>
    <hyperlink xmlns:r="http://schemas.openxmlformats.org/officeDocument/2006/relationships" ref="N39" display="concepts/parameters" r:id="rId38"/>
    <hyperlink xmlns:r="http://schemas.openxmlformats.org/officeDocument/2006/relationships" ref="N40" display="concepts/parameters" r:id="rId39"/>
    <hyperlink xmlns:r="http://schemas.openxmlformats.org/officeDocument/2006/relationships" ref="N41" display="part/index" r:id="rId40"/>
    <hyperlink xmlns:r="http://schemas.openxmlformats.org/officeDocument/2006/relationships" ref="N42" display="part/virtual" r:id="rId41"/>
    <hyperlink xmlns:r="http://schemas.openxmlformats.org/officeDocument/2006/relationships" ref="N43" display="part/template" r:id="rId42"/>
    <hyperlink xmlns:r="http://schemas.openxmlformats.org/officeDocument/2006/relationships" ref="N44" display="part/template" r:id="rId43"/>
    <hyperlink xmlns:r="http://schemas.openxmlformats.org/officeDocument/2006/relationships" ref="N45" display="part/template" r:id="rId44"/>
    <hyperlink xmlns:r="http://schemas.openxmlformats.org/officeDocument/2006/relationships" ref="N46" display="part/trackable" r:id="rId45"/>
    <hyperlink xmlns:r="http://schemas.openxmlformats.org/officeDocument/2006/relationships" ref="N47" display="part/index" r:id="rId46"/>
    <hyperlink xmlns:r="http://schemas.openxmlformats.org/officeDocument/2006/relationships" ref="N48" display="part/index" r:id="rId47"/>
    <hyperlink xmlns:r="http://schemas.openxmlformats.org/officeDocument/2006/relationships" ref="N49" display="part/index" r:id="rId48"/>
    <hyperlink xmlns:r="http://schemas.openxmlformats.org/officeDocument/2006/relationships" ref="N50" display="part/index" r:id="rId49"/>
    <hyperlink xmlns:r="http://schemas.openxmlformats.org/officeDocument/2006/relationships" ref="N51" display="part/index" r:id="rId50"/>
    <hyperlink xmlns:r="http://schemas.openxmlformats.org/officeDocument/2006/relationships" ref="N52" display="concepts/units" r:id="rId51"/>
    <hyperlink xmlns:r="http://schemas.openxmlformats.org/officeDocument/2006/relationships" ref="N53" display="part/index" r:id="rId52"/>
    <hyperlink xmlns:r="http://schemas.openxmlformats.org/officeDocument/2006/relationships" ref="N54" display="concepts/units" r:id="rId53"/>
    <hyperlink xmlns:r="http://schemas.openxmlformats.org/officeDocument/2006/relationships" ref="N55" display="concepts/units" r:id="rId54"/>
    <hyperlink xmlns:r="http://schemas.openxmlformats.org/officeDocument/2006/relationships" ref="N56" display="part/revision" r:id="rId55"/>
    <hyperlink xmlns:r="http://schemas.openxmlformats.org/officeDocument/2006/relationships" ref="N57" display="part/revision" r:id="rId56"/>
    <hyperlink xmlns:r="http://schemas.openxmlformats.org/officeDocument/2006/relationships" ref="N58" display="part/revision" r:id="rId57"/>
    <hyperlink xmlns:r="http://schemas.openxmlformats.org/officeDocument/2006/relationships" ref="N59" display="part/revision" r:id="rId58"/>
    <hyperlink xmlns:r="http://schemas.openxmlformats.org/officeDocument/2006/relationships" ref="N60" display="part/revision" r:id="rId59"/>
    <hyperlink xmlns:r="http://schemas.openxmlformats.org/officeDocument/2006/relationships" ref="N61" display="part/revision" r:id="rId60"/>
    <hyperlink xmlns:r="http://schemas.openxmlformats.org/officeDocument/2006/relationships" ref="N62" display="part/revision" r:id="rId61"/>
    <hyperlink xmlns:r="http://schemas.openxmlformats.org/officeDocument/2006/relationships" ref="N63" display="part/revision" r:id="rId62"/>
    <hyperlink xmlns:r="http://schemas.openxmlformats.org/officeDocument/2006/relationships" ref="N64" display="part/index" r:id="rId63"/>
    <hyperlink xmlns:r="http://schemas.openxmlformats.org/officeDocument/2006/relationships" ref="N65" display="part/views" r:id="rId64"/>
    <hyperlink xmlns:r="http://schemas.openxmlformats.org/officeDocument/2006/relationships" ref="N66" display="part/views" r:id="rId65"/>
    <hyperlink xmlns:r="http://schemas.openxmlformats.org/officeDocument/2006/relationships" ref="N67" display="part/views" r:id="rId66"/>
    <hyperlink xmlns:r="http://schemas.openxmlformats.org/officeDocument/2006/relationships" ref="N68" display="part/create" r:id="rId67"/>
    <hyperlink xmlns:r="http://schemas.openxmlformats.org/officeDocument/2006/relationships" ref="N69" display="part/views" r:id="rId68"/>
    <hyperlink xmlns:r="http://schemas.openxmlformats.org/officeDocument/2006/relationships" ref="N70" display="part/virtual" r:id="rId69"/>
    <hyperlink xmlns:r="http://schemas.openxmlformats.org/officeDocument/2006/relationships" ref="N71" display="part/template" r:id="rId70"/>
    <hyperlink xmlns:r="http://schemas.openxmlformats.org/officeDocument/2006/relationships" ref="N72" display="part/revision" r:id="rId71"/>
    <hyperlink xmlns:r="http://schemas.openxmlformats.org/officeDocument/2006/relationships" ref="N73" display="concepts/parameters" r:id="rId72"/>
    <hyperlink xmlns:r="http://schemas.openxmlformats.org/officeDocument/2006/relationships" ref="N74" display="concepts/units" r:id="rId73"/>
    <hyperlink xmlns:r="http://schemas.openxmlformats.org/officeDocument/2006/relationships" ref="N75" display="part/index" r:id="rId74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75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9" min="1" max="1"/>
    <col width="70" customWidth="1" style="9" min="2" max="2"/>
    <col width="40" customWidth="1" style="9" min="3" max="3"/>
    <col width="11" customWidth="1" style="9" min="4" max="4"/>
  </cols>
  <sheetData>
    <row r="1" ht="17.35" customHeight="1" s="10">
      <c r="A1" s="11" t="inlineStr">
        <is>
          <t>Requirement → test case traceability (Phase 1 brief)</t>
        </is>
      </c>
    </row>
    <row r="3" ht="15" customHeight="1" s="10">
      <c r="A3" s="13" t="inlineStr">
        <is>
          <t>Req</t>
        </is>
      </c>
      <c r="B3" s="13" t="inlineStr">
        <is>
          <t>Requirement (from brief)</t>
        </is>
      </c>
      <c r="C3" s="13" t="inlineStr">
        <is>
          <t>TC ID prefixes</t>
        </is>
      </c>
      <c r="D3" s="13" t="inlineStr">
        <is>
          <t>Test cases</t>
        </is>
      </c>
    </row>
    <row r="4" ht="15" customHeight="1" s="10">
      <c r="A4" s="14" t="inlineStr">
        <is>
          <t>R1</t>
        </is>
      </c>
      <c r="B4" s="14" t="inlineStr">
        <is>
          <t>Part creation – manual entry</t>
        </is>
      </c>
      <c r="C4" s="14" t="inlineStr">
        <is>
          <t>UI-CRT-*</t>
        </is>
      </c>
      <c r="D4" s="14">
        <f>COUNTIF('Test Cases'!$A:$A,"UI-CRT-*")</f>
        <v/>
      </c>
    </row>
    <row r="5" ht="15" customHeight="1" s="10">
      <c r="A5" s="14" t="inlineStr">
        <is>
          <t>R2</t>
        </is>
      </c>
      <c r="B5" s="14" t="inlineStr">
        <is>
          <t>Part creation – import flows</t>
        </is>
      </c>
      <c r="C5" s="14" t="inlineStr">
        <is>
          <t>UI-IMP-*</t>
        </is>
      </c>
      <c r="D5" s="14">
        <f>COUNTIF('Test Cases'!$A:$A,"UI-IMP-*")</f>
        <v/>
      </c>
    </row>
    <row r="6" ht="15" customHeight="1" s="10">
      <c r="A6" s="14" t="inlineStr">
        <is>
          <t>R3</t>
        </is>
      </c>
      <c r="B6" s="14" t="inlineStr">
        <is>
          <t>Part detail view – header, details and all tabs</t>
        </is>
      </c>
      <c r="C6" s="14" t="inlineStr">
        <is>
          <t>UI-DET-*, UI-TAB-*</t>
        </is>
      </c>
      <c r="D6" s="14">
        <f>COUNTIF('Test Cases'!$A:$A,"UI-DET-*")+COUNTIF('Test Cases'!$A:$A,"UI-TAB-*")</f>
        <v/>
      </c>
    </row>
    <row r="7" ht="15" customHeight="1" s="10">
      <c r="A7" s="14" t="inlineStr">
        <is>
          <t>R4</t>
        </is>
      </c>
      <c r="B7" s="14" t="inlineStr">
        <is>
          <t>Part categories – hierarchy, filtering, parametric tables</t>
        </is>
      </c>
      <c r="C7" s="14" t="inlineStr">
        <is>
          <t>UI-CAT-*, UI-PRM-*</t>
        </is>
      </c>
      <c r="D7" s="14">
        <f>COUNTIF('Test Cases'!$A:$A,"UI-CAT-*")+COUNTIF('Test Cases'!$A:$A,"UI-PRM-*")</f>
        <v/>
      </c>
    </row>
    <row r="8" ht="22.35" customHeight="1" s="10">
      <c r="A8" s="14" t="inlineStr">
        <is>
          <t>R5</t>
        </is>
      </c>
      <c r="B8" s="14" t="inlineStr">
        <is>
          <t>Part attributes – Virtual, Template, Assembly, Component, Trackable, Purchaseable, Salable, Active/Inactive</t>
        </is>
      </c>
      <c r="C8" s="14" t="inlineStr">
        <is>
          <t>UI-ATT-*</t>
        </is>
      </c>
      <c r="D8" s="14">
        <f>COUNTIF('Test Cases'!$A:$A,"UI-ATT-*")</f>
        <v/>
      </c>
    </row>
    <row r="9" ht="15" customHeight="1" s="10">
      <c r="A9" s="14" t="inlineStr">
        <is>
          <t>R6</t>
        </is>
      </c>
      <c r="B9" s="14" t="inlineStr">
        <is>
          <t>Units of measure configuration</t>
        </is>
      </c>
      <c r="C9" s="14" t="inlineStr">
        <is>
          <t>UI-UOM-*</t>
        </is>
      </c>
      <c r="D9" s="14">
        <f>COUNTIF('Test Cases'!$A:$A,"UI-UOM-*")</f>
        <v/>
      </c>
    </row>
    <row r="10" ht="15" customHeight="1" s="10">
      <c r="A10" s="14" t="inlineStr">
        <is>
          <t>R7</t>
        </is>
      </c>
      <c r="B10" s="14" t="inlineStr">
        <is>
          <t>Part revisions – creation and constraints</t>
        </is>
      </c>
      <c r="C10" s="14" t="inlineStr">
        <is>
          <t>UI-REV-*</t>
        </is>
      </c>
      <c r="D10" s="14">
        <f>COUNTIF('Test Cases'!$A:$A,"UI-REV-*")</f>
        <v/>
      </c>
    </row>
    <row r="11" ht="15" customHeight="1" s="10">
      <c r="A11" s="14" t="inlineStr">
        <is>
          <t>R8</t>
        </is>
      </c>
      <c r="B11" s="14" t="inlineStr">
        <is>
          <t>Negative and boundary scenarios</t>
        </is>
      </c>
      <c r="C11" s="14" t="inlineStr">
        <is>
          <t>UI-NEG-* (+ negative cases in every module)</t>
        </is>
      </c>
      <c r="D11" s="14">
        <f>COUNTIF('Test Cases'!$A:$A,"UI-NEG-*")</f>
        <v/>
      </c>
    </row>
    <row r="12" ht="15" customHeight="1" s="10">
      <c r="A12" s="14" t="inlineStr">
        <is>
          <t>R9</t>
        </is>
      </c>
      <c r="B12" s="14" t="inlineStr">
        <is>
          <t>End-to-end business flows across modules</t>
        </is>
      </c>
      <c r="C12" s="14" t="inlineStr">
        <is>
          <t>UI-E2E-*</t>
        </is>
      </c>
      <c r="D12" s="14">
        <f>COUNTIF('Test Cases'!$A:$A,"UI-E2E-*")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16" customWidth="1" style="9" min="2" max="2"/>
    <col width="80" customWidth="1" style="9" min="3" max="3"/>
    <col width="50" customWidth="1" style="9" min="4" max="4"/>
  </cols>
  <sheetData>
    <row r="1" ht="17.35" customHeight="1" s="10">
      <c r="A1" s="11" t="inlineStr">
        <is>
          <t>Requirement analysis observations</t>
        </is>
      </c>
    </row>
    <row r="3" ht="15" customHeight="1" s="10">
      <c r="A3" s="13" t="inlineStr">
        <is>
          <t>ID</t>
        </is>
      </c>
      <c r="B3" s="13" t="inlineStr">
        <is>
          <t>Type</t>
        </is>
      </c>
      <c r="C3" s="13" t="inlineStr">
        <is>
          <t>Observation</t>
        </is>
      </c>
      <c r="D3" s="13" t="inlineStr">
        <is>
          <t>Impact on testing</t>
        </is>
      </c>
    </row>
    <row r="4" ht="22.35" customHeight="1" s="10">
      <c r="A4" s="14" t="inlineStr">
        <is>
          <t>OBS-01</t>
        </is>
      </c>
      <c r="B4" s="14" t="inlineStr">
        <is>
          <t>Requirement gap</t>
        </is>
      </c>
      <c r="C4" s="14" t="inlineStr">
        <is>
          <t>'Revision-of-revision' prevention is required by the brief but is not listed in the Part Revisions doc, and no such check exists in the part model validation (InvenTree stable source).</t>
        </is>
      </c>
      <c r="D4" s="14" t="inlineStr">
        <is>
          <t>UI-REV-007 is likely to fail; confirm the intended behaviour with the product owner before logging a defect.</t>
        </is>
      </c>
    </row>
    <row r="5" ht="22.35" customHeight="1" s="10">
      <c r="A5" s="14" t="inlineStr">
        <is>
          <t>OBS-02</t>
        </is>
      </c>
      <c r="B5" s="14" t="inlineStr">
        <is>
          <t>Setting-dependent</t>
        </is>
      </c>
      <c r="C5" s="14" t="inlineStr">
        <is>
          <t>Duplicate IPNs are allowed by default (PART_ALLOW_DUPLICATE_IPN = True). The negative scenario only applies with the setting disabled.</t>
        </is>
      </c>
      <c r="D5" s="14" t="inlineStr">
        <is>
          <t>UI-NEG-001 covers both states.</t>
        </is>
      </c>
    </row>
    <row r="6" ht="22.35" customHeight="1" s="10">
      <c r="A6" s="14" t="inlineStr">
        <is>
          <t>OBS-03</t>
        </is>
      </c>
      <c r="B6" s="14" t="inlineStr">
        <is>
          <t>UI structure</t>
        </is>
      </c>
      <c r="C6" s="14" t="inlineStr">
        <is>
          <t>There is no dedicated 'Revisions' tab. Revisions are navigated with the 'Select Part Revision' drop-down, which appears only when revisions exist.</t>
        </is>
      </c>
      <c r="D6" s="14" t="inlineStr">
        <is>
          <t>Covered by UI-REV-002.</t>
        </is>
      </c>
    </row>
    <row r="7" ht="15" customHeight="1" s="10">
      <c r="A7" s="14" t="inlineStr">
        <is>
          <t>OBS-04</t>
        </is>
      </c>
      <c r="B7" s="14" t="inlineStr">
        <is>
          <t>Tab visibility</t>
        </is>
      </c>
      <c r="C7" s="14" t="inlineStr">
        <is>
          <t>The tabs shown depend on part flags and user roles.</t>
        </is>
      </c>
      <c r="D7" s="14" t="inlineStr">
        <is>
          <t>Consolidated into the UI-TAB-001 matrix.</t>
        </is>
      </c>
    </row>
    <row r="8" ht="22.35" customHeight="1" s="10">
      <c r="A8" s="14" t="inlineStr">
        <is>
          <t>OBS-05</t>
        </is>
      </c>
      <c r="B8" s="14" t="inlineStr">
        <is>
          <t>Configuration</t>
        </is>
      </c>
      <c r="C8" s="14" t="inlineStr">
        <is>
          <t>Several cases depend on global settings (Create Initial Stock, Part Locking, Revisions, Related Parts, Allow Duplicate IPN). Record the setting state in Actual Result.</t>
        </is>
      </c>
      <c r="D8" s="14" t="inlineStr">
        <is>
          <t>Reset settings to defaults after each run.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0" min="1" max="1"/>
    <col width="11" customWidth="1" style="10" min="2" max="2"/>
    <col width="55" customWidth="1" style="10" min="3" max="3"/>
    <col width="70" customWidth="1" style="10" min="4" max="4"/>
  </cols>
  <sheetData>
    <row r="1" ht="18" customHeight="1" s="10">
      <c r="A1" s="19" t="inlineStr">
        <is>
          <t>TC ID</t>
        </is>
      </c>
      <c r="B1" s="19" t="inlineStr">
        <is>
          <t>Automated</t>
        </is>
      </c>
      <c r="C1" s="19" t="inlineStr">
        <is>
          <t>Test Class.Method</t>
        </is>
      </c>
      <c r="D1" s="19" t="inlineStr">
        <is>
          <t>Coverage Note</t>
        </is>
      </c>
    </row>
    <row r="2">
      <c r="A2" s="20" t="inlineStr">
        <is>
          <t>UI-CRT-001</t>
        </is>
      </c>
      <c r="B2" s="20" t="inlineStr">
        <is>
          <t>Partial</t>
        </is>
      </c>
      <c r="C2" s="20" t="inlineStr">
        <is>
          <t>InvenTreePartUITest.createPartWithOnlyRequiredName</t>
        </is>
      </c>
      <c r="D2" s="21" t="inlineStr">
        <is>
          <t>Part is created with Name only and confirmed via the API and the Category's Parts table; this TC's specific 'redirects to part detail page' expected result is not asserted.</t>
        </is>
      </c>
    </row>
    <row r="3">
      <c r="A3" s="20" t="inlineStr">
        <is>
          <t>UI-CRT-002</t>
        </is>
      </c>
      <c r="B3" s="20" t="inlineStr">
        <is>
          <t>Partial</t>
        </is>
      </c>
      <c r="C3" s="20" t="inlineStr">
        <is>
          <t>InvenTreePartUITest.createPartWithAllOptionalFields</t>
        </is>
      </c>
      <c r="D3" s="21" t="inlineStr">
        <is>
          <t>Covers IPN, Description, Units and Link - each set on creation, verified via the API and read back from the Part Details tab. Revision, Keywords, Min/Max stock, Default location, Notes and the breadcrumb category-path assertion this TC specifies are not covered.</t>
        </is>
      </c>
    </row>
    <row r="4">
      <c r="A4" s="22" t="inlineStr">
        <is>
          <t>UI-CRT-003</t>
        </is>
      </c>
      <c r="B4" s="22" t="inlineStr">
        <is>
          <t>Yes</t>
        </is>
      </c>
      <c r="C4" s="22" t="inlineStr">
        <is>
          <t>InvenTreePartUITest.partCreationFullValidationFlow</t>
        </is>
      </c>
      <c r="D4" s="23" t="inlineStr">
        <is>
          <t>Full match: blank-Name inline error, invalid-Link inline error, then a corrected resubmit on the same modal instance succeeds and the Part is verified via the API.</t>
        </is>
      </c>
    </row>
    <row r="5">
      <c r="A5" s="24" t="inlineStr">
        <is>
          <t>UI-CRT-004</t>
        </is>
      </c>
      <c r="B5" s="24" t="inlineStr">
        <is>
          <t>No</t>
        </is>
      </c>
      <c r="C5" s="24" t="n"/>
      <c r="D5" s="25" t="n"/>
    </row>
    <row r="6">
      <c r="A6" s="24" t="inlineStr">
        <is>
          <t>UI-CRT-005</t>
        </is>
      </c>
      <c r="B6" s="24" t="inlineStr">
        <is>
          <t>No</t>
        </is>
      </c>
      <c r="C6" s="24" t="n"/>
      <c r="D6" s="25" t="n"/>
    </row>
    <row r="7">
      <c r="A7" s="20" t="inlineStr">
        <is>
          <t>UI-CRT-006</t>
        </is>
      </c>
      <c r="B7" s="20" t="inlineStr">
        <is>
          <t>Partial</t>
        </is>
      </c>
      <c r="C7" s="20" t="inlineStr">
        <is>
          <t>InvenTreePartUITest.createPartWithOnlyRequiredName (and every other Part-creation test)</t>
        </is>
      </c>
      <c r="D7" s="21" t="inlineStr">
        <is>
          <t>Every automated Part-creation test creates the Part from within a Category's own Parts tab and confirms afterward that it is listed there, but none explicitly assert that the Category field itself arrives pre-filled in the modal.</t>
        </is>
      </c>
    </row>
    <row r="8">
      <c r="A8" s="24" t="inlineStr">
        <is>
          <t>UI-CRT-007</t>
        </is>
      </c>
      <c r="B8" s="24" t="inlineStr">
        <is>
          <t>No</t>
        </is>
      </c>
      <c r="C8" s="24" t="n"/>
      <c r="D8" s="25" t="n"/>
    </row>
    <row r="9">
      <c r="A9" s="24" t="inlineStr">
        <is>
          <t>UI-CRT-008</t>
        </is>
      </c>
      <c r="B9" s="24" t="inlineStr">
        <is>
          <t>No</t>
        </is>
      </c>
      <c r="C9" s="24" t="n"/>
      <c r="D9" s="25" t="n"/>
    </row>
    <row r="10">
      <c r="A10" s="24" t="inlineStr">
        <is>
          <t>UI-IMP-001</t>
        </is>
      </c>
      <c r="B10" s="24" t="inlineStr">
        <is>
          <t>No</t>
        </is>
      </c>
      <c r="C10" s="24" t="n"/>
      <c r="D10" s="25" t="n"/>
    </row>
    <row r="11">
      <c r="A11" s="24" t="inlineStr">
        <is>
          <t>UI-IMP-002</t>
        </is>
      </c>
      <c r="B11" s="24" t="inlineStr">
        <is>
          <t>No</t>
        </is>
      </c>
      <c r="C11" s="24" t="n"/>
      <c r="D11" s="25" t="n"/>
    </row>
    <row r="12">
      <c r="A12" s="24" t="inlineStr">
        <is>
          <t>UI-IMP-003</t>
        </is>
      </c>
      <c r="B12" s="24" t="inlineStr">
        <is>
          <t>No</t>
        </is>
      </c>
      <c r="C12" s="24" t="n"/>
      <c r="D12" s="25" t="n"/>
    </row>
    <row r="13">
      <c r="A13" s="24" t="inlineStr">
        <is>
          <t>UI-IMP-004</t>
        </is>
      </c>
      <c r="B13" s="24" t="inlineStr">
        <is>
          <t>No</t>
        </is>
      </c>
      <c r="C13" s="24" t="n"/>
      <c r="D13" s="25" t="n"/>
    </row>
    <row r="14">
      <c r="A14" s="24" t="inlineStr">
        <is>
          <t>UI-DET-001</t>
        </is>
      </c>
      <c r="B14" s="24" t="inlineStr">
        <is>
          <t>No</t>
        </is>
      </c>
      <c r="C14" s="24" t="n"/>
      <c r="D14" s="25" t="n"/>
    </row>
    <row r="15">
      <c r="A15" s="20" t="inlineStr">
        <is>
          <t>UI-DET-002</t>
        </is>
      </c>
      <c r="B15" s="20" t="inlineStr">
        <is>
          <t>Partial</t>
        </is>
      </c>
      <c r="C15" s="20" t="inlineStr">
        <is>
          <t>InvenTreePartUITest.createPartWithAllOptionalFields</t>
        </is>
      </c>
      <c r="D15" s="21" t="inlineStr">
        <is>
          <t>Confirms IPN, Description and Units are shown on the Part Details tab; Revision, Keywords, Link, creation date and creation user are not asserted there.</t>
        </is>
      </c>
    </row>
    <row r="16">
      <c r="A16" s="20" t="inlineStr">
        <is>
          <t>UI-DET-003</t>
        </is>
      </c>
      <c r="B16" s="20" t="inlineStr">
        <is>
          <t>Partial</t>
        </is>
      </c>
      <c r="C16" s="20" t="inlineStr">
        <is>
          <t>InvenTreePartUITest.editPartNameUpdatesDetailPage</t>
        </is>
      </c>
      <c r="D16" s="21" t="inlineStr">
        <is>
          <t>Same Edit-modal mechanism, but edits Name, not Description; notes/markdown editing is not covered.</t>
        </is>
      </c>
    </row>
    <row r="17">
      <c r="A17" s="24" t="inlineStr">
        <is>
          <t>UI-DET-004</t>
        </is>
      </c>
      <c r="B17" s="24" t="inlineStr">
        <is>
          <t>No</t>
        </is>
      </c>
      <c r="C17" s="24" t="n"/>
      <c r="D17" s="25" t="n"/>
    </row>
    <row r="18">
      <c r="A18" s="24" t="inlineStr">
        <is>
          <t>UI-DET-005</t>
        </is>
      </c>
      <c r="B18" s="24" t="inlineStr">
        <is>
          <t>No</t>
        </is>
      </c>
      <c r="C18" s="24" t="n"/>
      <c r="D18" s="25" t="n"/>
    </row>
    <row r="19">
      <c r="A19" s="24" t="inlineStr">
        <is>
          <t>UI-TAB-001</t>
        </is>
      </c>
      <c r="B19" s="24" t="inlineStr">
        <is>
          <t>No</t>
        </is>
      </c>
      <c r="C19" s="24" t="n"/>
      <c r="D19" s="25" t="n"/>
    </row>
    <row r="20">
      <c r="A20" s="20" t="inlineStr">
        <is>
          <t>UI-TAB-002</t>
        </is>
      </c>
      <c r="B20" s="20" t="inlineStr">
        <is>
          <t>Partial</t>
        </is>
      </c>
      <c r="C20" s="20" t="inlineStr">
        <is>
          <t>InvenTreeCrossFunctionalFlowUITest.createPartAddParameterAddStockAndVerifyInCategoryView</t>
        </is>
      </c>
      <c r="D20" s="21" t="inlineStr">
        <is>
          <t>Covers only "add a stock item" and the resulting status badge/category-table update; table review of pre-existing items, bulk actions and export are not covered.</t>
        </is>
      </c>
    </row>
    <row r="21">
      <c r="A21" s="24" t="inlineStr">
        <is>
          <t>UI-TAB-003</t>
        </is>
      </c>
      <c r="B21" s="24" t="inlineStr">
        <is>
          <t>No</t>
        </is>
      </c>
      <c r="C21" s="24" t="n"/>
      <c r="D21" s="25" t="n"/>
    </row>
    <row r="22">
      <c r="A22" s="24" t="inlineStr">
        <is>
          <t>UI-TAB-004</t>
        </is>
      </c>
      <c r="B22" s="24" t="inlineStr">
        <is>
          <t>No</t>
        </is>
      </c>
      <c r="C22" s="24" t="n"/>
      <c r="D22" s="25" t="n"/>
    </row>
    <row r="23">
      <c r="A23" s="24" t="inlineStr">
        <is>
          <t>UI-TAB-005</t>
        </is>
      </c>
      <c r="B23" s="24" t="inlineStr">
        <is>
          <t>No</t>
        </is>
      </c>
      <c r="C23" s="24" t="n"/>
      <c r="D23" s="25" t="n"/>
    </row>
    <row r="24">
      <c r="A24" s="20" t="inlineStr">
        <is>
          <t>UI-TAB-006</t>
        </is>
      </c>
      <c r="B24" s="20" t="inlineStr">
        <is>
          <t>Partial</t>
        </is>
      </c>
      <c r="C24" s="20" t="inlineStr">
        <is>
          <t>InvenTreeCrossFunctionalFlowUITest.createPartAddParameterAddStockAndVerifyInCategoryView (add) + InvenTreePartParametersUITest.editParameterValueUpdatesTable / .deleteParameterRemovesItFromTable (edit, delete)</t>
        </is>
      </c>
      <c r="D24" s="21" t="inlineStr">
        <is>
          <t>Add, edit and delete are each independently verified, but by separate tests against separately-created Parameters - not as one continuous add-this-row / edit-it / delete-it flow on the same row.</t>
        </is>
      </c>
    </row>
    <row r="25">
      <c r="A25" s="24" t="inlineStr">
        <is>
          <t>UI-TAB-007</t>
        </is>
      </c>
      <c r="B25" s="24" t="inlineStr">
        <is>
          <t>No</t>
        </is>
      </c>
      <c r="C25" s="24" t="n"/>
      <c r="D25" s="25" t="n"/>
    </row>
    <row r="26">
      <c r="A26" s="24" t="inlineStr">
        <is>
          <t>UI-TAB-008</t>
        </is>
      </c>
      <c r="B26" s="24" t="inlineStr">
        <is>
          <t>No</t>
        </is>
      </c>
      <c r="C26" s="24" t="n"/>
      <c r="D26" s="25" t="n"/>
    </row>
    <row r="27">
      <c r="A27" s="24" t="inlineStr">
        <is>
          <t>UI-TAB-009</t>
        </is>
      </c>
      <c r="B27" s="24" t="inlineStr">
        <is>
          <t>No</t>
        </is>
      </c>
      <c r="C27" s="24" t="n"/>
      <c r="D27" s="25" t="n"/>
    </row>
    <row r="28">
      <c r="A28" s="24" t="inlineStr">
        <is>
          <t>UI-TAB-010</t>
        </is>
      </c>
      <c r="B28" s="24" t="inlineStr">
        <is>
          <t>No</t>
        </is>
      </c>
      <c r="C28" s="24" t="n"/>
      <c r="D28" s="25" t="n"/>
    </row>
    <row r="29">
      <c r="A29" s="24" t="inlineStr">
        <is>
          <t>UI-CAT-001</t>
        </is>
      </c>
      <c r="B29" s="24" t="inlineStr">
        <is>
          <t>No</t>
        </is>
      </c>
      <c r="C29" s="24" t="n"/>
      <c r="D29" s="25" t="n"/>
    </row>
    <row r="30">
      <c r="A30" s="24" t="inlineStr">
        <is>
          <t>UI-CAT-002</t>
        </is>
      </c>
      <c r="B30" s="24" t="inlineStr">
        <is>
          <t>No</t>
        </is>
      </c>
      <c r="C30" s="24" t="n"/>
      <c r="D30" s="25" t="n"/>
    </row>
    <row r="31">
      <c r="A31" s="24" t="inlineStr">
        <is>
          <t>UI-CAT-003</t>
        </is>
      </c>
      <c r="B31" s="24" t="inlineStr">
        <is>
          <t>No</t>
        </is>
      </c>
      <c r="C31" s="24" t="n"/>
      <c r="D31" s="25" t="n"/>
    </row>
    <row r="32">
      <c r="A32" s="24" t="inlineStr">
        <is>
          <t>UI-CAT-004</t>
        </is>
      </c>
      <c r="B32" s="24" t="inlineStr">
        <is>
          <t>No</t>
        </is>
      </c>
      <c r="C32" s="24" t="n"/>
      <c r="D32" s="25" t="n"/>
    </row>
    <row r="33">
      <c r="A33" s="22" t="inlineStr">
        <is>
          <t>UI-CAT-005</t>
        </is>
      </c>
      <c r="B33" s="22" t="inlineStr">
        <is>
          <t>Yes</t>
        </is>
      </c>
      <c r="C33" s="22" t="inlineStr">
        <is>
          <t>InvenTreePartCategoryUITest.structuralCategoryRejectsParts</t>
        </is>
      </c>
      <c r="D33" s="23" t="inlineStr">
        <is>
          <t>Full match, including the exact error text 'Parts cannot be assigned to structural part categories!'.</t>
        </is>
      </c>
    </row>
    <row r="34">
      <c r="A34" s="24" t="inlineStr">
        <is>
          <t>UI-CAT-006</t>
        </is>
      </c>
      <c r="B34" s="24" t="inlineStr">
        <is>
          <t>No</t>
        </is>
      </c>
      <c r="C34" s="24" t="n"/>
      <c r="D34" s="25" t="n"/>
    </row>
    <row r="35">
      <c r="A35" s="24" t="inlineStr">
        <is>
          <t>UI-CAT-007</t>
        </is>
      </c>
      <c r="B35" s="24" t="inlineStr">
        <is>
          <t>No</t>
        </is>
      </c>
      <c r="C35" s="24" t="n"/>
      <c r="D35" s="25" t="n"/>
    </row>
    <row r="36">
      <c r="A36" s="24" t="inlineStr">
        <is>
          <t>UI-CAT-008</t>
        </is>
      </c>
      <c r="B36" s="24" t="inlineStr">
        <is>
          <t>No</t>
        </is>
      </c>
      <c r="C36" s="24" t="n"/>
      <c r="D36" s="25" t="n"/>
    </row>
    <row r="37">
      <c r="A37" s="24" t="inlineStr">
        <is>
          <t>UI-PRM-001</t>
        </is>
      </c>
      <c r="B37" s="24" t="inlineStr">
        <is>
          <t>No</t>
        </is>
      </c>
      <c r="C37" s="24" t="n"/>
      <c r="D37" s="25" t="n"/>
    </row>
    <row r="38">
      <c r="A38" s="24" t="inlineStr">
        <is>
          <t>UI-PRM-002</t>
        </is>
      </c>
      <c r="B38" s="24" t="inlineStr">
        <is>
          <t>No</t>
        </is>
      </c>
      <c r="C38" s="24" t="n"/>
      <c r="D38" s="25" t="n"/>
    </row>
    <row r="39">
      <c r="A39" s="24" t="inlineStr">
        <is>
          <t>UI-PRM-003</t>
        </is>
      </c>
      <c r="B39" s="24" t="inlineStr">
        <is>
          <t>No</t>
        </is>
      </c>
      <c r="C39" s="24" t="n"/>
      <c r="D39" s="25" t="n"/>
    </row>
    <row r="40">
      <c r="A40" s="24" t="inlineStr">
        <is>
          <t>UI-PRM-004</t>
        </is>
      </c>
      <c r="B40" s="24" t="inlineStr">
        <is>
          <t>No</t>
        </is>
      </c>
      <c r="C40" s="24" t="n"/>
      <c r="D40" s="25" t="n"/>
    </row>
    <row r="41">
      <c r="A41" s="24" t="inlineStr">
        <is>
          <t>UI-PRM-005</t>
        </is>
      </c>
      <c r="B41" s="24" t="inlineStr">
        <is>
          <t>No</t>
        </is>
      </c>
      <c r="C41" s="24" t="n"/>
      <c r="D41" s="25" t="n"/>
    </row>
    <row r="42">
      <c r="A42" s="24" t="inlineStr">
        <is>
          <t>UI-ATT-001</t>
        </is>
      </c>
      <c r="B42" s="24" t="inlineStr">
        <is>
          <t>No</t>
        </is>
      </c>
      <c r="C42" s="24" t="n"/>
      <c r="D42" s="25" t="n"/>
    </row>
    <row r="43">
      <c r="A43" s="24" t="inlineStr">
        <is>
          <t>UI-ATT-002</t>
        </is>
      </c>
      <c r="B43" s="24" t="inlineStr">
        <is>
          <t>No</t>
        </is>
      </c>
      <c r="C43" s="24" t="n"/>
      <c r="D43" s="25" t="n"/>
    </row>
    <row r="44">
      <c r="A44" s="24" t="inlineStr">
        <is>
          <t>UI-ATT-003</t>
        </is>
      </c>
      <c r="B44" s="24" t="inlineStr">
        <is>
          <t>No</t>
        </is>
      </c>
      <c r="C44" s="24" t="n"/>
      <c r="D44" s="25" t="n"/>
    </row>
    <row r="45">
      <c r="A45" s="24" t="inlineStr">
        <is>
          <t>UI-ATT-004</t>
        </is>
      </c>
      <c r="B45" s="24" t="inlineStr">
        <is>
          <t>No</t>
        </is>
      </c>
      <c r="C45" s="24" t="n"/>
      <c r="D45" s="25" t="n"/>
    </row>
    <row r="46">
      <c r="A46" s="24" t="inlineStr">
        <is>
          <t>UI-ATT-005</t>
        </is>
      </c>
      <c r="B46" s="24" t="inlineStr">
        <is>
          <t>No</t>
        </is>
      </c>
      <c r="C46" s="24" t="n"/>
      <c r="D46" s="25" t="n"/>
    </row>
    <row r="47">
      <c r="A47" s="24" t="inlineStr">
        <is>
          <t>UI-ATT-006</t>
        </is>
      </c>
      <c r="B47" s="24" t="inlineStr">
        <is>
          <t>No</t>
        </is>
      </c>
      <c r="C47" s="24" t="n"/>
      <c r="D47" s="25" t="n"/>
    </row>
    <row r="48">
      <c r="A48" s="20" t="inlineStr">
        <is>
          <t>UI-ATT-007</t>
        </is>
      </c>
      <c r="B48" s="20" t="inlineStr">
        <is>
          <t>Partial</t>
        </is>
      </c>
      <c r="C48" s="20" t="inlineStr">
        <is>
          <t>InvenTreePartAttributesUITest.editingPartTogglesActiveStatus</t>
        </is>
      </c>
      <c r="D48" s="21" t="inlineStr">
        <is>
          <t>Confirms toggling Active off in the Edit modal persists via the API; the Inactive badge, hiding from BOM/PO/SO/build-order selectors, and reactivation are not covered.</t>
        </is>
      </c>
    </row>
    <row r="49">
      <c r="A49" s="20" t="inlineStr">
        <is>
          <t>UI-ATT-008</t>
        </is>
      </c>
      <c r="B49" s="20" t="inlineStr">
        <is>
          <t>Partial</t>
        </is>
      </c>
      <c r="C49" s="20" t="inlineStr">
        <is>
          <t>InvenTreePartAttributesUITest.lockedPartDisablesEditSubmit</t>
        </is>
      </c>
      <c r="D49" s="21" t="inlineStr">
        <is>
          <t>Verifies a different but related locked-Part restriction than this TC specifies: locking a Part disables its own Edit modal's Submit button entirely (verified live). This TC's own checks - Delete blocked with a 'locked' message, and BOM changes blocked - are not covered.</t>
        </is>
      </c>
    </row>
    <row r="50">
      <c r="A50" s="22" t="inlineStr">
        <is>
          <t>UI-ATT-009</t>
        </is>
      </c>
      <c r="B50" s="22" t="inlineStr">
        <is>
          <t>Yes</t>
        </is>
      </c>
      <c r="C50" s="22" t="inlineStr">
        <is>
          <t>InvenTreePartUITest.deleteIsDisabledForAnActivePart</t>
        </is>
      </c>
      <c r="D50" s="23" t="inlineStr">
        <is>
          <t>Full match.</t>
        </is>
      </c>
    </row>
    <row r="51">
      <c r="A51" s="24" t="inlineStr">
        <is>
          <t>UI-UOM-001</t>
        </is>
      </c>
      <c r="B51" s="24" t="inlineStr">
        <is>
          <t>No</t>
        </is>
      </c>
      <c r="C51" s="24" t="n"/>
      <c r="D51" s="25" t="n"/>
    </row>
    <row r="52">
      <c r="A52" s="24" t="inlineStr">
        <is>
          <t>UI-UOM-002</t>
        </is>
      </c>
      <c r="B52" s="24" t="inlineStr">
        <is>
          <t>No</t>
        </is>
      </c>
      <c r="C52" s="24" t="n"/>
      <c r="D52" s="25" t="n"/>
    </row>
    <row r="53">
      <c r="A53" s="24" t="inlineStr">
        <is>
          <t>UI-UOM-003</t>
        </is>
      </c>
      <c r="B53" s="24" t="inlineStr">
        <is>
          <t>No</t>
        </is>
      </c>
      <c r="C53" s="24" t="n"/>
      <c r="D53" s="25" t="n"/>
    </row>
    <row r="54">
      <c r="A54" s="24" t="inlineStr">
        <is>
          <t>UI-UOM-004</t>
        </is>
      </c>
      <c r="B54" s="24" t="inlineStr">
        <is>
          <t>No</t>
        </is>
      </c>
      <c r="C54" s="24" t="n"/>
      <c r="D54" s="25" t="n"/>
    </row>
    <row r="55">
      <c r="A55" s="24" t="inlineStr">
        <is>
          <t>UI-UOM-005</t>
        </is>
      </c>
      <c r="B55" s="24" t="inlineStr">
        <is>
          <t>No</t>
        </is>
      </c>
      <c r="C55" s="24" t="n"/>
      <c r="D55" s="25" t="n"/>
    </row>
    <row r="56">
      <c r="A56" s="24" t="inlineStr">
        <is>
          <t>UI-REV-001</t>
        </is>
      </c>
      <c r="B56" s="24" t="inlineStr">
        <is>
          <t>No</t>
        </is>
      </c>
      <c r="C56" s="24" t="n"/>
      <c r="D56" s="25" t="n"/>
    </row>
    <row r="57">
      <c r="A57" s="24" t="inlineStr">
        <is>
          <t>UI-REV-002</t>
        </is>
      </c>
      <c r="B57" s="24" t="inlineStr">
        <is>
          <t>No</t>
        </is>
      </c>
      <c r="C57" s="24" t="n"/>
      <c r="D57" s="25" t="n"/>
    </row>
    <row r="58">
      <c r="A58" s="24" t="inlineStr">
        <is>
          <t>UI-REV-003</t>
        </is>
      </c>
      <c r="B58" s="24" t="inlineStr">
        <is>
          <t>No</t>
        </is>
      </c>
      <c r="C58" s="24" t="n"/>
      <c r="D58" s="25" t="n"/>
    </row>
    <row r="59">
      <c r="A59" s="24" t="inlineStr">
        <is>
          <t>UI-REV-004</t>
        </is>
      </c>
      <c r="B59" s="24" t="inlineStr">
        <is>
          <t>No</t>
        </is>
      </c>
      <c r="C59" s="24" t="n"/>
      <c r="D59" s="25" t="n"/>
    </row>
    <row r="60">
      <c r="A60" s="24" t="inlineStr">
        <is>
          <t>UI-REV-005</t>
        </is>
      </c>
      <c r="B60" s="24" t="inlineStr">
        <is>
          <t>No</t>
        </is>
      </c>
      <c r="C60" s="24" t="n"/>
      <c r="D60" s="25" t="n"/>
    </row>
    <row r="61">
      <c r="A61" s="24" t="inlineStr">
        <is>
          <t>UI-REV-006</t>
        </is>
      </c>
      <c r="B61" s="24" t="inlineStr">
        <is>
          <t>No</t>
        </is>
      </c>
      <c r="C61" s="24" t="n"/>
      <c r="D61" s="25" t="n"/>
    </row>
    <row r="62">
      <c r="A62" s="24" t="inlineStr">
        <is>
          <t>UI-REV-007</t>
        </is>
      </c>
      <c r="B62" s="24" t="inlineStr">
        <is>
          <t>No</t>
        </is>
      </c>
      <c r="C62" s="24" t="n"/>
      <c r="D62" s="25" t="n"/>
    </row>
    <row r="63">
      <c r="A63" s="24" t="inlineStr">
        <is>
          <t>UI-REV-008</t>
        </is>
      </c>
      <c r="B63" s="24" t="inlineStr">
        <is>
          <t>No</t>
        </is>
      </c>
      <c r="C63" s="24" t="n"/>
      <c r="D63" s="25" t="n"/>
    </row>
    <row r="64">
      <c r="A64" s="24" t="inlineStr">
        <is>
          <t>UI-NEG-001</t>
        </is>
      </c>
      <c r="B64" s="24" t="inlineStr">
        <is>
          <t>No</t>
        </is>
      </c>
      <c r="C64" s="24" t="n"/>
      <c r="D64" s="25" t="n"/>
    </row>
    <row r="65">
      <c r="A65" s="20" t="inlineStr">
        <is>
          <t>UI-NEG-002</t>
        </is>
      </c>
      <c r="B65" s="20" t="inlineStr">
        <is>
          <t>Partial</t>
        </is>
      </c>
      <c r="C65" s="20" t="inlineStr">
        <is>
          <t>InvenTreePartUITest.rejectsDuplicateNameIpnRevision</t>
        </is>
      </c>
      <c r="D65" s="21" t="inlineStr">
        <is>
          <t>Same behavior verified live (duplicate Name+IPN+Revision rejected, no Part created), but the running instance's actual error text is "The fields name, IPN, revision must make a unique set.", not this TC's specified "Part with this Name, IPN and Revision already exists." - a documentation/implementation wording mismatch worth flagging, not a test gap.</t>
        </is>
      </c>
    </row>
    <row r="66">
      <c r="A66" s="24" t="inlineStr">
        <is>
          <t>UI-NEG-003</t>
        </is>
      </c>
      <c r="B66" s="24" t="inlineStr">
        <is>
          <t>No</t>
        </is>
      </c>
      <c r="C66" s="24" t="n"/>
      <c r="D66" s="25" t="n"/>
    </row>
    <row r="67">
      <c r="A67" s="20" t="inlineStr">
        <is>
          <t>UI-NEG-004</t>
        </is>
      </c>
      <c r="B67" s="20" t="inlineStr">
        <is>
          <t>Partial</t>
        </is>
      </c>
      <c r="C67" s="20" t="inlineStr">
        <is>
          <t>InvenTreePartUITest.rejectsHtmlInNameField</t>
        </is>
      </c>
      <c r="D67" s="21" t="inlineStr">
        <is>
          <t>Full match on the error message ("Remove HTML tags from this value"); this TC's "nothing executed" half is not separately asserted (no script alert fired during the run, but that absence is not itself checked).</t>
        </is>
      </c>
    </row>
    <row r="68">
      <c r="A68" s="24" t="inlineStr">
        <is>
          <t>UI-E2E-001</t>
        </is>
      </c>
      <c r="B68" s="24" t="inlineStr">
        <is>
          <t>No</t>
        </is>
      </c>
      <c r="C68" s="24" t="n"/>
      <c r="D68" s="25" t="n"/>
    </row>
    <row r="69">
      <c r="A69" s="24" t="inlineStr">
        <is>
          <t>UI-E2E-002</t>
        </is>
      </c>
      <c r="B69" s="24" t="inlineStr">
        <is>
          <t>No</t>
        </is>
      </c>
      <c r="C69" s="24" t="n"/>
      <c r="D69" s="25" t="n"/>
    </row>
    <row r="70">
      <c r="A70" s="24" t="inlineStr">
        <is>
          <t>UI-E2E-003</t>
        </is>
      </c>
      <c r="B70" s="24" t="inlineStr">
        <is>
          <t>No</t>
        </is>
      </c>
      <c r="C70" s="24" t="n"/>
      <c r="D70" s="25" t="n"/>
    </row>
    <row r="71">
      <c r="A71" s="24" t="inlineStr">
        <is>
          <t>UI-E2E-004</t>
        </is>
      </c>
      <c r="B71" s="24" t="inlineStr">
        <is>
          <t>No</t>
        </is>
      </c>
      <c r="C71" s="24" t="n"/>
      <c r="D71" s="25" t="n"/>
    </row>
    <row r="72">
      <c r="A72" s="24" t="inlineStr">
        <is>
          <t>UI-E2E-005</t>
        </is>
      </c>
      <c r="B72" s="24" t="inlineStr">
        <is>
          <t>No</t>
        </is>
      </c>
      <c r="C72" s="24" t="n"/>
      <c r="D72" s="25" t="n"/>
    </row>
    <row r="73">
      <c r="A73" s="24" t="inlineStr">
        <is>
          <t>UI-E2E-006</t>
        </is>
      </c>
      <c r="B73" s="24" t="inlineStr">
        <is>
          <t>No</t>
        </is>
      </c>
      <c r="C73" s="24" t="n"/>
      <c r="D73" s="25" t="n"/>
    </row>
    <row r="74">
      <c r="A74" s="24" t="inlineStr">
        <is>
          <t>UI-E2E-007</t>
        </is>
      </c>
      <c r="B74" s="24" t="inlineStr">
        <is>
          <t>No</t>
        </is>
      </c>
      <c r="C74" s="24" t="n"/>
      <c r="D74" s="25" t="n"/>
    </row>
    <row r="75">
      <c r="A75" s="24" t="inlineStr">
        <is>
          <t>UI-E2E-008</t>
        </is>
      </c>
      <c r="B75" s="24" t="inlineStr">
        <is>
          <t>No</t>
        </is>
      </c>
      <c r="C75" s="24" t="n"/>
      <c r="D75" s="25" t="n"/>
    </row>
    <row r="77">
      <c r="A77" s="26" t="inlineStr">
        <is>
          <t>Total test cases:</t>
        </is>
      </c>
      <c r="B77" s="27" t="n">
        <v>74</v>
      </c>
    </row>
    <row r="78">
      <c r="A78" s="26" t="inlineStr">
        <is>
          <t>Automated (full match):</t>
        </is>
      </c>
      <c r="B78" s="27" t="n">
        <v>3</v>
      </c>
    </row>
    <row r="79">
      <c r="A79" s="26" t="inlineStr">
        <is>
          <t>Automated (partial match):</t>
        </is>
      </c>
      <c r="B79" s="27" t="n">
        <v>11</v>
      </c>
    </row>
    <row r="80">
      <c r="A80" s="26" t="inlineStr">
        <is>
          <t>Not automated (manual only):</t>
        </is>
      </c>
      <c r="B80" s="27" t="n">
        <v>60</v>
      </c>
    </row>
    <row r="82" ht="30" customHeight="1" s="10">
      <c r="A82" s="28" t="inlineStr">
        <is>
          <t>Automation intentionally covers a representative subset, not every test case in this suite — the remaining cases stay manual by design. 'Partial' means the automated test verifies the same behavior with narrower scope than this TC specifies (see Coverage Note); it is not a claim of full equivalence.</t>
        </is>
      </c>
    </row>
  </sheetData>
  <mergeCells count="1">
    <mergeCell ref="A82:D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2026-09-24T17:03:20Z</dcterms:created>
  <dcterms:modified xsi:type="dcterms:W3CDTF">2026-09-27T09:01:29Z</dcterms:modified>
  <cp:revision>0</cp:revision>
</cp:coreProperties>
</file>